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fdca3ecb4842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libration_Matrix" sheetId="1" r:id="R9e066642b4524a5a"/>
    <x:sheet xmlns:r="http://schemas.openxmlformats.org/officeDocument/2006/relationships" name="Hard_Boundaries" sheetId="2" r:id="Rba60b2590b974d8d"/>
    <x:sheet xmlns:r="http://schemas.openxmlformats.org/officeDocument/2006/relationships" name="Calibration_Summary" sheetId="3" r:id="Rae7310d7ab6e4aba"/>
    <x:sheet xmlns:r="http://schemas.openxmlformats.org/officeDocument/2006/relationships" name="Provenance" sheetId="4" r:id="R8b7a76dd03a745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"/>
    <x:numFmt numFmtId="201" formatCode="0"/>
    <x:numFmt numFmtId="202" formatCode="0.0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7F6000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4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</x:cellXfs>
  <x:cellStyles count="1">
    <x:cellStyle name="Normal" xfId="0"/>
  </x:cellStyles>
  <x:dxfs count="5">
    <x:dxf>
      <x:fill>
        <x:patternFill>
          <x:bgColor rgb="FFF8CBAD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234557778243df" /><Relationship Type="http://schemas.openxmlformats.org/officeDocument/2006/relationships/theme" Target="/xl/theme/theme1.xml" Id="R93ebec1872aa4aa2" /><Relationship Type="http://schemas.microsoft.com/office/2022/11/relationships/FeaturePropertyBag" Target="/xl/featurePropertyBag/featurePropertyBag.xml" Id="Re6137d20503f4c98" /><Relationship Type="http://schemas.openxmlformats.org/officeDocument/2006/relationships/sharedStrings" Target="/xl/sharedStrings.xml" Id="Re9088b9b4ecd477b" /><Relationship Type="http://schemas.openxmlformats.org/officeDocument/2006/relationships/worksheet" Target="/xl/worksheets/sheet1.xml" Id="R9e066642b4524a5a" /><Relationship Type="http://schemas.openxmlformats.org/officeDocument/2006/relationships/worksheet" Target="/xl/worksheets/sheet2.xml" Id="Rba60b2590b974d8d" /><Relationship Type="http://schemas.openxmlformats.org/officeDocument/2006/relationships/worksheet" Target="/xl/worksheets/sheet3.xml" Id="Rae7310d7ab6e4aba" /><Relationship Type="http://schemas.openxmlformats.org/officeDocument/2006/relationships/worksheet" Target="/xl/worksheets/sheet4.xml" Id="R8b7a76dd03a7451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CalibrationMatrixTable" displayName="CalibrationMatrixTable" ref="A1:AI128" headerRowCount="1" totalsRowCount="0" totalsRowShown="0">
  <x:tableColumns count="35">
    <x:tableColumn id="1" name="case_id"/>
    <x:tableColumn id="2" name="candidate_id"/>
    <x:tableColumn id="3" name="human_label"/>
    <x:tableColumn id="4" name="review_confidence"/>
    <x:tableColumn id="5" name="lock_status"/>
    <x:tableColumn id="6" name="calibration_role"/>
    <x:tableColumn id="7" name="threshold_safe"/>
    <x:tableColumn id="8" name="provider_peak_contaminated"/>
    <x:tableColumn id="9" name="episode_local_retreat_override"/>
    <x:tableColumn id="10" name="candidate_event_index"/>
    <x:tableColumn id="11" name="candidate_elapsed_seconds"/>
    <x:tableColumn id="12" name="candidate_event_type"/>
    <x:tableColumn id="13" name="candidate_event_team"/>
    <x:tableColumn id="14" name="restart_context"/>
    <x:tableColumn id="15" name="attacking_x"/>
    <x:tableColumn id="16" name="candidate_anchor_x"/>
    <x:tableColumn id="17" name="prior_peak_x"/>
    <x:tableColumn id="18" name="retreat_from_peak"/>
    <x:tableColumn id="19" name="largest_recent_negative_dx"/>
    <x:tableColumn id="20" name="negative_run_length"/>
    <x:tableColumn id="21" name="nonpositive_run_length"/>
    <x:tableColumn id="22" name="time_since_peak"/>
    <x:tableColumn id="23" name="events_since_peak"/>
    <x:tableColumn id="24" name="observed_recovery"/>
    <x:tableColumn id="25" name="time_to_recovery"/>
    <x:tableColumn id="26" name="events_to_recovery"/>
    <x:tableColumn id="27" name="new_peak_afterward"/>
    <x:tableColumn id="28" name="starting_field_position_band"/>
    <x:tableColumn id="29" name="before_event_index"/>
    <x:tableColumn id="30" name="after_event_index"/>
    <x:tableColumn id="31" name="review_note"/>
    <x:tableColumn id="32" name="candidate_reason"/>
    <x:tableColumn id="33" name="match_id"/>
    <x:tableColumn id="34" name="period"/>
    <x:tableColumn id="35" name="possession_i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HardBoundariesTable" displayName="HardBoundariesTable" ref="A1:H47" headerRowCount="1" totalsRowCount="0" totalsRowShown="0">
  <x:tableColumns count="8">
    <x:tableColumn id="1" name="case_id"/>
    <x:tableColumn id="2" name="candidate_id"/>
    <x:tableColumn id="3" name="event_index"/>
    <x:tableColumn id="4" name="event_type"/>
    <x:tableColumn id="5" name="event_team"/>
    <x:tableColumn id="6" name="review_confidence"/>
    <x:tableColumn id="7" name="review_note"/>
    <x:tableColumn id="8" name="boundary_sour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253797407d9493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86913702a6541cf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3" hidden="0" customWidth="1"/>
    <x:col min="3" max="3" width="18" hidden="0" customWidth="1"/>
    <x:col min="4" max="4" width="10" hidden="0" customWidth="1"/>
    <x:col min="5" max="5" width="13" hidden="0" customWidth="1"/>
    <x:col min="6" max="6" width="24" hidden="0" customWidth="1"/>
    <x:col min="7" max="7" width="12" hidden="0" customWidth="1"/>
    <x:col min="8" max="8" width="18" hidden="0" customWidth="1"/>
    <x:col min="9" max="9" width="18" hidden="0" customWidth="1"/>
    <x:col min="10" max="10" width="12" hidden="0" customWidth="1"/>
    <x:col min="11" max="11" width="13" hidden="0" customWidth="1"/>
    <x:col min="12" max="12" width="15" hidden="0" customWidth="1"/>
    <x:col min="13" max="13" width="20" hidden="0" customWidth="1"/>
    <x:col min="14" max="14" width="14" hidden="0" customWidth="1"/>
    <x:col min="15" max="15" width="11" hidden="0" customWidth="1"/>
    <x:col min="16" max="16" width="13" hidden="0" customWidth="1"/>
    <x:col min="17" max="17" width="12" hidden="0" customWidth="1"/>
    <x:col min="18" max="18" width="14" hidden="0" customWidth="1"/>
    <x:col min="19" max="19" width="17" hidden="0" customWidth="1"/>
    <x:col min="20" max="20" width="12" hidden="0" customWidth="1"/>
    <x:col min="21" max="21" width="13" hidden="0" customWidth="1"/>
    <x:col min="22" max="22" width="12" hidden="0" customWidth="1"/>
    <x:col min="23" max="23" width="12" hidden="0" customWidth="1"/>
    <x:col min="24" max="24" width="13" hidden="0" customWidth="1"/>
    <x:col min="25" max="25" width="14" hidden="0" customWidth="1"/>
    <x:col min="26" max="26" width="13" hidden="0" customWidth="1"/>
    <x:col min="27" max="27" width="14" hidden="0" customWidth="1"/>
    <x:col min="28" max="28" width="16" hidden="0" customWidth="1"/>
    <x:col min="29" max="29" width="12" hidden="0" customWidth="1"/>
    <x:col min="30" max="30" width="12" hidden="0" customWidth="1"/>
    <x:col min="31" max="31" width="38" hidden="0" customWidth="1"/>
    <x:col min="32" max="32" width="40" hidden="0" customWidth="1"/>
    <x:col min="33" max="33" width="12" hidden="0" customWidth="1"/>
    <x:col min="34" max="34" width="8" hidden="0" customWidth="1"/>
    <x:col min="35" max="35" width="12" hidden="0" customWidth="1"/>
    <x:col min="36" max="36" width="16" hidden="0" customWidth="1"/>
  </x:cols>
  <x:sheetData>
    <x:row r="1">
      <x:c r="A1" s="7" t="str">
        <x:v>case_id</x:v>
      </x:c>
      <x:c r="B1" s="7" t="str">
        <x:v>candidate_id</x:v>
      </x:c>
      <x:c r="C1" s="7" t="str">
        <x:v>human_label</x:v>
      </x:c>
      <x:c r="D1" s="7" t="str">
        <x:v>review_confidence</x:v>
      </x:c>
      <x:c r="E1" s="7" t="str">
        <x:v>lock_status</x:v>
      </x:c>
      <x:c r="F1" s="7" t="str">
        <x:v>calibration_role</x:v>
      </x:c>
      <x:c r="G1" s="7" t="str">
        <x:v>threshold_safe</x:v>
      </x:c>
      <x:c r="H1" s="7" t="str">
        <x:v>provider_peak_contaminated</x:v>
      </x:c>
      <x:c r="I1" s="7" t="str">
        <x:v>episode_local_retreat_override</x:v>
      </x:c>
      <x:c r="J1" s="7" t="str">
        <x:v>candidate_event_index</x:v>
      </x:c>
      <x:c r="K1" s="7" t="str">
        <x:v>candidate_elapsed_seconds</x:v>
      </x:c>
      <x:c r="L1" s="7" t="str">
        <x:v>candidate_event_type</x:v>
      </x:c>
      <x:c r="M1" s="7" t="str">
        <x:v>candidate_event_team</x:v>
      </x:c>
      <x:c r="N1" s="7" t="str">
        <x:v>restart_context</x:v>
      </x:c>
      <x:c r="O1" s="7" t="str">
        <x:v>attacking_x</x:v>
      </x:c>
      <x:c r="P1" s="7" t="str">
        <x:v>candidate_anchor_x</x:v>
      </x:c>
      <x:c r="Q1" s="7" t="str">
        <x:v>prior_peak_x</x:v>
      </x:c>
      <x:c r="R1" s="7" t="str">
        <x:v>retreat_from_peak</x:v>
      </x:c>
      <x:c r="S1" s="7" t="str">
        <x:v>largest_recent_negative_dx</x:v>
      </x:c>
      <x:c r="T1" s="7" t="str">
        <x:v>negative_run_length</x:v>
      </x:c>
      <x:c r="U1" s="7" t="str">
        <x:v>nonpositive_run_length</x:v>
      </x:c>
      <x:c r="V1" s="7" t="str">
        <x:v>time_since_peak</x:v>
      </x:c>
      <x:c r="W1" s="7" t="str">
        <x:v>events_since_peak</x:v>
      </x:c>
      <x:c r="X1" s="7" t="str">
        <x:v>observed_recovery</x:v>
      </x:c>
      <x:c r="Y1" s="7" t="str">
        <x:v>time_to_recovery</x:v>
      </x:c>
      <x:c r="Z1" s="7" t="str">
        <x:v>events_to_recovery</x:v>
      </x:c>
      <x:c r="AA1" s="7" t="str">
        <x:v>new_peak_afterward</x:v>
      </x:c>
      <x:c r="AB1" s="7" t="str">
        <x:v>starting_field_position_band</x:v>
      </x:c>
      <x:c r="AC1" s="7" t="str">
        <x:v>before_event_index</x:v>
      </x:c>
      <x:c r="AD1" s="7" t="str">
        <x:v>after_event_index</x:v>
      </x:c>
      <x:c r="AE1" s="7" t="str">
        <x:v>review_note</x:v>
      </x:c>
      <x:c r="AF1" s="7" t="str">
        <x:v>candidate_reason</x:v>
      </x:c>
      <x:c r="AG1" s="7" t="str">
        <x:v>match_id</x:v>
      </x:c>
      <x:c r="AH1" s="7" t="str">
        <x:v>period</x:v>
      </x:c>
      <x:c r="AI1" s="7" t="str">
        <x:v>possession_id</x:v>
      </x:c>
      <x:c r="AJ1" s="46" t="str">
        <x:v>threshold_weight</x:v>
      </x:c>
    </x:row>
    <x:row r="2">
      <x:c r="A2" s="12" t="str">
        <x:v>C02</x:v>
      </x:c>
      <x:c r="B2" s="12" t="str">
        <x:v>C02_M01</x:v>
      </x:c>
      <x:c r="C2" s="12" t="str">
        <x:v>CONTINUE</x:v>
      </x:c>
      <x:c r="D2" s="18" t="n">
        <x:v>3</x:v>
      </x:c>
      <x:c r="E2" s="12" t="str">
        <x:v>LOCKED</x:v>
      </x:c>
      <x:c r="F2" s="12" t="str">
        <x:v>negative/control example</x:v>
      </x:c>
      <x:c r="G2" s="13" t="b">
        <x:v>1</x:v>
      </x:c>
      <x:c r="H2" s="13" t="b">
        <x:v>0</x:v>
      </x:c>
      <x:c r="I2" s="16"/>
      <x:c r="J2" s="18" t="n">
        <x:v>4280</x:v>
      </x:c>
      <x:c r="K2" s="16" t="n">
        <x:v>10.276000000000295</x:v>
      </x:c>
      <x:c r="L2" s="12" t="str">
        <x:v>Pass</x:v>
      </x:c>
      <x:c r="M2" s="12" t="str">
        <x:v>Bayer Leverkusen</x:v>
      </x:c>
      <x:c r="N2" s="12"/>
      <x:c r="O2" s="16" t="n">
        <x:v>102.3</x:v>
      </x:c>
      <x:c r="P2" s="16" t="n">
        <x:v>84.4</x:v>
      </x:c>
      <x:c r="Q2" s="16" t="n">
        <x:v>102.3</x:v>
      </x:c>
      <x:c r="R2" s="16" t="n">
        <x:v>0</x:v>
      </x:c>
      <x:c r="S2" s="16" t="n">
        <x:v>0</x:v>
      </x:c>
      <x:c r="T2" s="18"/>
      <x:c r="U2" s="18"/>
      <x:c r="V2" s="16" t="n">
        <x:v>0</x:v>
      </x:c>
      <x:c r="W2" s="18" t="n">
        <x:v>0</x:v>
      </x:c>
      <x:c r="X2" s="12"/>
      <x:c r="Y2" s="16"/>
      <x:c r="Z2" s="18"/>
      <x:c r="AA2" s="12"/>
      <x:c r="AB2" s="12" t="str">
        <x:v>[0,30)</x:v>
      </x:c>
      <x:c r="AC2" s="18" t="n">
        <x:v>4279</x:v>
      </x:c>
      <x:c r="AD2" s="18" t="n">
        <x:v>4282</x:v>
      </x:c>
      <x:c r="AE2" s="12" t="str">
        <x:v>No opponent control; gap alone.</x:v>
      </x:c>
      <x:c r="AF2" s="12" t="str">
        <x:v>review sampling criterion: first full-event gap&gt;3s</x:v>
      </x:c>
      <x:c r="AG2" s="18" t="n">
        <x:v>3895060</x:v>
      </x:c>
      <x:c r="AH2" s="18" t="n">
        <x:v>2</x:v>
      </x:c>
      <x:c r="AI2" s="18" t="n">
        <x:v>172</x:v>
      </x:c>
      <x:c r="AJ2" t="n">
        <x:v>1</x:v>
      </x:c>
    </x:row>
    <x:row r="3">
      <x:c r="A3" s="12" t="str">
        <x:v>C02</x:v>
      </x:c>
      <x:c r="B3" s="12" t="str">
        <x:v>C02_M02</x:v>
      </x:c>
      <x:c r="C3" s="12" t="str">
        <x:v>CONTINUE</x:v>
      </x:c>
      <x:c r="D3" s="18" t="n">
        <x:v>3</x:v>
      </x:c>
      <x:c r="E3" s="12" t="str">
        <x:v>LOCKED</x:v>
      </x:c>
      <x:c r="F3" s="12" t="str">
        <x:v>negative/control example</x:v>
      </x:c>
      <x:c r="G3" s="13" t="b">
        <x:v>1</x:v>
      </x:c>
      <x:c r="H3" s="13" t="b">
        <x:v>0</x:v>
      </x:c>
      <x:c r="I3" s="16"/>
      <x:c r="J3" s="18" t="n">
        <x:v>4289</x:v>
      </x:c>
      <x:c r="K3" s="16" t="n">
        <x:v>24.322000000000116</x:v>
      </x:c>
      <x:c r="L3" s="12" t="str">
        <x:v>Carry</x:v>
      </x:c>
      <x:c r="M3" s="12" t="str">
        <x:v>Bayer Leverkusen</x:v>
      </x:c>
      <x:c r="N3" s="12"/>
      <x:c r="O3" s="16" t="n">
        <x:v>98.6</x:v>
      </x:c>
      <x:c r="P3" s="16" t="n">
        <x:v>100.3</x:v>
      </x:c>
      <x:c r="Q3" s="16" t="n">
        <x:v>116.8</x:v>
      </x:c>
      <x:c r="R3" s="16" t="n">
        <x:v>18.200000000000003</x:v>
      </x:c>
      <x:c r="S3" s="16" t="n">
        <x:v>-1.7000000000000028</x:v>
      </x:c>
      <x:c r="T3" s="18" t="n">
        <x:v>1</x:v>
      </x:c>
      <x:c r="U3" s="18" t="n">
        <x:v>1</x:v>
      </x:c>
      <x:c r="V3" s="16" t="n">
        <x:v>3.1410000000000764</x:v>
      </x:c>
      <x:c r="W3" s="18" t="n">
        <x:v>4</x:v>
      </x:c>
      <x:c r="X3" s="12" t="str">
        <x:v>False</x:v>
      </x:c>
      <x:c r="Y3" s="16"/>
      <x:c r="Z3" s="18"/>
      <x:c r="AA3" s="12" t="str">
        <x:v>False</x:v>
      </x:c>
      <x:c r="AB3" s="12" t="str">
        <x:v>[0,30)</x:v>
      </x:c>
      <x:c r="AC3" s="18" t="n">
        <x:v>4285</x:v>
      </x:c>
      <x:c r="AD3" s="18" t="n">
        <x:v>4290</x:v>
      </x:c>
      <x:c r="AE3" s="12" t="str">
        <x:v>Clearance + immediate Leverkusen recovery; same episode.</x:v>
      </x:c>
      <x:c r="AF3" s="12" t="str">
        <x:v>review sampling criterion: first negative vector (no magnitude minimum); review sampling criterion: peak_retreat&gt;=15; review sampling criterion: peak_retreat&gt;=5</x:v>
      </x:c>
      <x:c r="AG3" s="18" t="n">
        <x:v>3895060</x:v>
      </x:c>
      <x:c r="AH3" s="18" t="n">
        <x:v>2</x:v>
      </x:c>
      <x:c r="AI3" s="18" t="n">
        <x:v>172</x:v>
      </x:c>
      <x:c r="AJ3" t="n">
        <x:v>1</x:v>
      </x:c>
    </x:row>
    <x:row r="4">
      <x:c r="A4" s="12" t="str">
        <x:v>C03</x:v>
      </x:c>
      <x:c r="B4" s="12" t="str">
        <x:v>C03_M01</x:v>
      </x:c>
      <x:c r="C4" s="12" t="str">
        <x:v>CONTINUE</x:v>
      </x:c>
      <x:c r="D4" s="18" t="n">
        <x:v>3</x:v>
      </x:c>
      <x:c r="E4" s="12" t="str">
        <x:v>LOCKED</x:v>
      </x:c>
      <x:c r="F4" s="12" t="str">
        <x:v>negative/control example</x:v>
      </x:c>
      <x:c r="G4" s="13" t="b">
        <x:v>1</x:v>
      </x:c>
      <x:c r="H4" s="13" t="b">
        <x:v>0</x:v>
      </x:c>
      <x:c r="I4" s="16"/>
      <x:c r="J4" s="18" t="n">
        <x:v>3457</x:v>
      </x:c>
      <x:c r="K4" s="16" t="n">
        <x:v>9.317000000000007</x:v>
      </x:c>
      <x:c r="L4" s="12" t="str">
        <x:v>Pass</x:v>
      </x:c>
      <x:c r="M4" s="12" t="str">
        <x:v>Bayer Leverkusen</x:v>
      </x:c>
      <x:c r="N4" s="12"/>
      <x:c r="O4" s="16" t="n">
        <x:v>90.2</x:v>
      </x:c>
      <x:c r="P4" s="16" t="n">
        <x:v>93.8</x:v>
      </x:c>
      <x:c r="Q4" s="16" t="n">
        <x:v>93.8</x:v>
      </x:c>
      <x:c r="R4" s="16" t="n">
        <x:v>3.5999999999999943</x:v>
      </x:c>
      <x:c r="S4" s="16" t="n">
        <x:v>-3.5999999999999943</x:v>
      </x:c>
      <x:c r="T4" s="18" t="n">
        <x:v>1</x:v>
      </x:c>
      <x:c r="U4" s="18" t="n">
        <x:v>1</x:v>
      </x:c>
      <x:c r="V4" s="16" t="n">
        <x:v>0</x:v>
      </x:c>
      <x:c r="W4" s="18" t="n">
        <x:v>0</x:v>
      </x:c>
      <x:c r="X4" s="12" t="str">
        <x:v>True</x:v>
      </x:c>
      <x:c r="Y4" s="16" t="n">
        <x:v>1.6639999999999873</x:v>
      </x:c>
      <x:c r="Z4" s="18" t="n">
        <x:v>2</x:v>
      </x:c>
      <x:c r="AA4" s="12" t="str">
        <x:v>True</x:v>
      </x:c>
      <x:c r="AB4" s="12" t="str">
        <x:v>[0,30)</x:v>
      </x:c>
      <x:c r="AC4" s="18" t="n">
        <x:v>3456</x:v>
      </x:c>
      <x:c r="AD4" s="18" t="n">
        <x:v>3459</x:v>
      </x:c>
      <x:c r="AE4" s="12" t="str"/>
      <x:c r="AF4" s="12" t="str">
        <x:v>review sampling criterion: first full-event gap&gt;3s; review sampling criterion: first negative vector (no magnitude minimum)</x:v>
      </x:c>
      <x:c r="AG4" s="18" t="n">
        <x:v>3895153</x:v>
      </x:c>
      <x:c r="AH4" s="18" t="n">
        <x:v>2</x:v>
      </x:c>
      <x:c r="AI4" s="18" t="n">
        <x:v>115</x:v>
      </x:c>
      <x:c r="AJ4" t="n">
        <x:v>1</x:v>
      </x:c>
    </x:row>
    <x:row r="5">
      <x:c r="A5" s="12" t="str">
        <x:v>C03</x:v>
      </x:c>
      <x:c r="B5" s="12" t="str">
        <x:v>C03_M02</x:v>
      </x:c>
      <x:c r="C5" s="12" t="str">
        <x:v>CONTINUE</x:v>
      </x:c>
      <x:c r="D5" s="18" t="n">
        <x:v>3</x:v>
      </x:c>
      <x:c r="E5" s="12" t="str">
        <x:v>LOCKED</x:v>
      </x:c>
      <x:c r="F5" s="12" t="str">
        <x:v>negative/control example</x:v>
      </x:c>
      <x:c r="G5" s="13" t="b">
        <x:v>1</x:v>
      </x:c>
      <x:c r="H5" s="13" t="b">
        <x:v>0</x:v>
      </x:c>
      <x:c r="I5" s="16"/>
      <x:c r="J5" s="18" t="n">
        <x:v>3459</x:v>
      </x:c>
      <x:c r="K5" s="16" t="n">
        <x:v>10.980999999999995</x:v>
      </x:c>
      <x:c r="L5" s="12" t="str">
        <x:v>Carry</x:v>
      </x:c>
      <x:c r="M5" s="12" t="str">
        <x:v>Bayer Leverkusen</x:v>
      </x:c>
      <x:c r="N5" s="12"/>
      <x:c r="O5" s="16" t="n">
        <x:v>95.2</x:v>
      </x:c>
      <x:c r="P5" s="16" t="n">
        <x:v>90.2</x:v>
      </x:c>
      <x:c r="Q5" s="16" t="n">
        <x:v>95.2</x:v>
      </x:c>
      <x:c r="R5" s="16" t="n">
        <x:v>0</x:v>
      </x:c>
      <x:c r="S5" s="16" t="n">
        <x:v>-3.5999999999999943</x:v>
      </x:c>
      <x:c r="T5" s="18"/>
      <x:c r="U5" s="18"/>
      <x:c r="V5" s="16" t="n">
        <x:v>0</x:v>
      </x:c>
      <x:c r="W5" s="18" t="n">
        <x:v>0</x:v>
      </x:c>
      <x:c r="X5" s="12"/>
      <x:c r="Y5" s="16"/>
      <x:c r="Z5" s="18"/>
      <x:c r="AA5" s="12"/>
      <x:c r="AB5" s="12" t="str">
        <x:v>[0,30)</x:v>
      </x:c>
      <x:c r="AC5" s="18" t="n">
        <x:v>3457</x:v>
      </x:c>
      <x:c r="AD5" s="18" t="n">
        <x:v>3460</x:v>
      </x:c>
      <x:c r="AE5" s="12" t="str"/>
      <x:c r="AF5" s="12" t="str">
        <x:v>review sampling criterion: first negative-to-positive action turn; review sampling criterion: shortest/longest observed record-peak recovery</x:v>
      </x:c>
      <x:c r="AG5" s="18" t="n">
        <x:v>3895153</x:v>
      </x:c>
      <x:c r="AH5" s="18" t="n">
        <x:v>2</x:v>
      </x:c>
      <x:c r="AI5" s="18" t="n">
        <x:v>115</x:v>
      </x:c>
      <x:c r="AJ5" t="n">
        <x:v>1</x:v>
      </x:c>
    </x:row>
    <x:row r="6">
      <x:c r="A6" s="12" t="str">
        <x:v>C04</x:v>
      </x:c>
      <x:c r="B6" s="12" t="str">
        <x:v>C04_M01</x:v>
      </x:c>
      <x:c r="C6" s="12" t="str">
        <x:v>CONTINUE</x:v>
      </x:c>
      <x:c r="D6" s="18" t="n">
        <x:v>3</x:v>
      </x:c>
      <x:c r="E6" s="12" t="str">
        <x:v>LOCKED</x:v>
      </x:c>
      <x:c r="F6" s="12" t="str">
        <x:v>negative/control example</x:v>
      </x:c>
      <x:c r="G6" s="13" t="b">
        <x:v>1</x:v>
      </x:c>
      <x:c r="H6" s="13" t="b">
        <x:v>0</x:v>
      </x:c>
      <x:c r="I6" s="16"/>
      <x:c r="J6" s="18" t="n">
        <x:v>164</x:v>
      </x:c>
      <x:c r="K6" s="16" t="n">
        <x:v>1.367999999999995</x:v>
      </x:c>
      <x:c r="L6" s="12" t="str">
        <x:v>Carry</x:v>
      </x:c>
      <x:c r="M6" s="12" t="str">
        <x:v>Bayer Leverkusen</x:v>
      </x:c>
      <x:c r="N6" s="12"/>
      <x:c r="O6" s="16" t="n">
        <x:v>81.7</x:v>
      </x:c>
      <x:c r="P6" s="16" t="n">
        <x:v>83.7</x:v>
      </x:c>
      <x:c r="Q6" s="16" t="n">
        <x:v>83.7</x:v>
      </x:c>
      <x:c r="R6" s="16" t="n">
        <x:v>2</x:v>
      </x:c>
      <x:c r="S6" s="16" t="n">
        <x:v>-2</x:v>
      </x:c>
      <x:c r="T6" s="18" t="n">
        <x:v>1</x:v>
      </x:c>
      <x:c r="U6" s="18" t="n">
        <x:v>1</x:v>
      </x:c>
      <x:c r="V6" s="16" t="n">
        <x:v>0</x:v>
      </x:c>
      <x:c r="W6" s="18" t="n">
        <x:v>0</x:v>
      </x:c>
      <x:c r="X6" s="12" t="str">
        <x:v>True</x:v>
      </x:c>
      <x:c r="Y6" s="16" t="n">
        <x:v>0.4449999999999932</x:v>
      </x:c>
      <x:c r="Z6" s="18" t="n">
        <x:v>2</x:v>
      </x:c>
      <x:c r="AA6" s="12" t="str">
        <x:v>True</x:v>
      </x:c>
      <x:c r="AB6" s="12" t="str">
        <x:v>[80,100)</x:v>
      </x:c>
      <x:c r="AC6" s="18" t="n">
        <x:v>162</x:v>
      </x:c>
      <x:c r="AD6" s="18" t="n">
        <x:v>165</x:v>
      </x:c>
      <x:c r="AE6" s="12" t="str"/>
      <x:c r="AF6" s="12" t="str">
        <x:v>review sampling criterion: first negative vector (no magnitude minimum)</x:v>
      </x:c>
      <x:c r="AG6" s="18" t="n">
        <x:v>3895052</x:v>
      </x:c>
      <x:c r="AH6" s="18" t="n">
        <x:v>1</x:v>
      </x:c>
      <x:c r="AI6" s="18" t="n">
        <x:v>12</x:v>
      </x:c>
      <x:c r="AJ6" t="n">
        <x:v>1</x:v>
      </x:c>
    </x:row>
    <x:row r="7">
      <x:c r="A7" s="12" t="str">
        <x:v>C04</x:v>
      </x:c>
      <x:c r="B7" s="12" t="str">
        <x:v>C04_M02</x:v>
      </x:c>
      <x:c r="C7" s="12" t="str">
        <x:v>CONTINUE</x:v>
      </x:c>
      <x:c r="D7" s="18" t="n">
        <x:v>3</x:v>
      </x:c>
      <x:c r="E7" s="12" t="str">
        <x:v>LOCKED</x:v>
      </x:c>
      <x:c r="F7" s="12" t="str">
        <x:v>negative/control example</x:v>
      </x:c>
      <x:c r="G7" s="13" t="b">
        <x:v>1</x:v>
      </x:c>
      <x:c r="H7" s="13" t="b">
        <x:v>0</x:v>
      </x:c>
      <x:c r="I7" s="16"/>
      <x:c r="J7" s="18" t="n">
        <x:v>166</x:v>
      </x:c>
      <x:c r="K7" s="16" t="n">
        <x:v>1.8129999999999882</x:v>
      </x:c>
      <x:c r="L7" s="12" t="str">
        <x:v>Pass</x:v>
      </x:c>
      <x:c r="M7" s="12" t="str">
        <x:v>Bayer Leverkusen</x:v>
      </x:c>
      <x:c r="N7" s="12"/>
      <x:c r="O7" s="16" t="n">
        <x:v>88</x:v>
      </x:c>
      <x:c r="P7" s="16" t="n">
        <x:v>81.7</x:v>
      </x:c>
      <x:c r="Q7" s="16" t="n">
        <x:v>88</x:v>
      </x:c>
      <x:c r="R7" s="16" t="n">
        <x:v>0</x:v>
      </x:c>
      <x:c r="S7" s="16" t="n">
        <x:v>-2</x:v>
      </x:c>
      <x:c r="T7" s="18"/>
      <x:c r="U7" s="18"/>
      <x:c r="V7" s="16" t="n">
        <x:v>0</x:v>
      </x:c>
      <x:c r="W7" s="18" t="n">
        <x:v>0</x:v>
      </x:c>
      <x:c r="X7" s="12"/>
      <x:c r="Y7" s="16"/>
      <x:c r="Z7" s="18"/>
      <x:c r="AA7" s="12"/>
      <x:c r="AB7" s="12" t="str">
        <x:v>[80,100)</x:v>
      </x:c>
      <x:c r="AC7" s="18" t="n">
        <x:v>165</x:v>
      </x:c>
      <x:c r="AD7" s="18" t="n">
        <x:v>168</x:v>
      </x:c>
      <x:c r="AE7" s="12" t="str"/>
      <x:c r="AF7" s="12" t="str">
        <x:v>review sampling criterion: first negative-to-positive action turn; review sampling criterion: shortest/longest observed record-peak recovery</x:v>
      </x:c>
      <x:c r="AG7" s="18" t="n">
        <x:v>3895052</x:v>
      </x:c>
      <x:c r="AH7" s="18" t="n">
        <x:v>1</x:v>
      </x:c>
      <x:c r="AI7" s="18" t="n">
        <x:v>12</x:v>
      </x:c>
      <x:c r="AJ7" t="n">
        <x:v>1</x:v>
      </x:c>
    </x:row>
    <x:row r="8">
      <x:c r="A8" s="12" t="str">
        <x:v>C04</x:v>
      </x:c>
      <x:c r="B8" s="12" t="str">
        <x:v>C04_M03</x:v>
      </x:c>
      <x:c r="C8" s="12" t="str">
        <x:v>CONTINUE</x:v>
      </x:c>
      <x:c r="D8" s="18" t="n">
        <x:v>3</x:v>
      </x:c>
      <x:c r="E8" s="12" t="str">
        <x:v>LOCKED</x:v>
      </x:c>
      <x:c r="F8" s="12" t="str">
        <x:v>negative/control example</x:v>
      </x:c>
      <x:c r="G8" s="13" t="b">
        <x:v>1</x:v>
      </x:c>
      <x:c r="H8" s="13" t="b">
        <x:v>0</x:v>
      </x:c>
      <x:c r="I8" s="16"/>
      <x:c r="J8" s="18" t="n">
        <x:v>168</x:v>
      </x:c>
      <x:c r="K8" s="16" t="n">
        <x:v>2.5180000000000007</x:v>
      </x:c>
      <x:c r="L8" s="12" t="str">
        <x:v>Pass</x:v>
      </x:c>
      <x:c r="M8" s="12" t="str">
        <x:v>Bayer Leverkusen</x:v>
      </x:c>
      <x:c r="N8" s="12"/>
      <x:c r="O8" s="16" t="n">
        <x:v>66.7</x:v>
      </x:c>
      <x:c r="P8" s="16" t="n">
        <x:v>86</x:v>
      </x:c>
      <x:c r="Q8" s="16" t="n">
        <x:v>88</x:v>
      </x:c>
      <x:c r="R8" s="16" t="n">
        <x:v>21.299999999999997</x:v>
      </x:c>
      <x:c r="S8" s="16" t="n">
        <x:v>-19.299999999999997</x:v>
      </x:c>
      <x:c r="T8" s="18" t="n">
        <x:v>1</x:v>
      </x:c>
      <x:c r="U8" s="18" t="n">
        <x:v>1</x:v>
      </x:c>
      <x:c r="V8" s="16" t="n">
        <x:v>0.7050000000000125</x:v>
      </x:c>
      <x:c r="W8" s="18" t="n">
        <x:v>2</x:v>
      </x:c>
      <x:c r="X8" s="12" t="str">
        <x:v>True</x:v>
      </x:c>
      <x:c r="Y8" s="16" t="n">
        <x:v>4.731999999999999</x:v>
      </x:c>
      <x:c r="Z8" s="18" t="n">
        <x:v>3</x:v>
      </x:c>
      <x:c r="AA8" s="12" t="str">
        <x:v>True</x:v>
      </x:c>
      <x:c r="AB8" s="12" t="str">
        <x:v>[80,100)</x:v>
      </x:c>
      <x:c r="AC8" s="18" t="n">
        <x:v>166</x:v>
      </x:c>
      <x:c r="AD8" s="18" t="n">
        <x:v>170</x:v>
      </x:c>
      <x:c r="AE8" s="12" t="str"/>
      <x:c r="AF8" s="12" t="str">
        <x:v>review sampling criterion: peak_retreat&gt;=15; review sampling criterion: peak_retreat&gt;=5; review sampling criterion: single_negative&gt;=15; review sampling criterion: single_negative&gt;=5</x:v>
      </x:c>
      <x:c r="AG8" s="18" t="n">
        <x:v>3895052</x:v>
      </x:c>
      <x:c r="AH8" s="18" t="n">
        <x:v>1</x:v>
      </x:c>
      <x:c r="AI8" s="18" t="n">
        <x:v>12</x:v>
      </x:c>
      <x:c r="AJ8" t="n">
        <x:v>1</x:v>
      </x:c>
    </x:row>
    <x:row r="9">
      <x:c r="A9" s="12" t="str">
        <x:v>C04</x:v>
      </x:c>
      <x:c r="B9" s="12" t="str">
        <x:v>C04_M04</x:v>
      </x:c>
      <x:c r="C9" s="12" t="str">
        <x:v>POSSIBLE_RESET</x:v>
      </x:c>
      <x:c r="D9" s="18" t="n">
        <x:v>2</x:v>
      </x:c>
      <x:c r="E9" s="12" t="str">
        <x:v>LOCKED</x:v>
      </x:c>
      <x:c r="F9" s="12" t="str">
        <x:v>warning evidence</x:v>
      </x:c>
      <x:c r="G9" s="13" t="b">
        <x:v>1</x:v>
      </x:c>
      <x:c r="H9" s="13" t="b">
        <x:v>0</x:v>
      </x:c>
      <x:c r="I9" s="16"/>
      <x:c r="J9" s="18" t="n">
        <x:v>177</x:v>
      </x:c>
      <x:c r="K9" s="16" t="n">
        <x:v>19.792999999999978</x:v>
      </x:c>
      <x:c r="L9" s="12" t="str">
        <x:v>Pass</x:v>
      </x:c>
      <x:c r="M9" s="12" t="str">
        <x:v>Bayer Leverkusen</x:v>
      </x:c>
      <x:c r="N9" s="12"/>
      <x:c r="O9" s="16" t="n">
        <x:v>63.7</x:v>
      </x:c>
      <x:c r="P9" s="16" t="n">
        <x:v>70.9</x:v>
      </x:c>
      <x:c r="Q9" s="16" t="n">
        <x:v>97.2</x:v>
      </x:c>
      <x:c r="R9" s="16" t="n">
        <x:v>33.5</x:v>
      </x:c>
      <x:c r="S9" s="16" t="n">
        <x:v>-7.200000000000003</x:v>
      </x:c>
      <x:c r="T9" s="18" t="n">
        <x:v>2</x:v>
      </x:c>
      <x:c r="U9" s="18" t="n">
        <x:v>2</x:v>
      </x:c>
      <x:c r="V9" s="16" t="n">
        <x:v>12.542999999999978</x:v>
      </x:c>
      <x:c r="W9" s="18" t="n">
        <x:v>6</x:v>
      </x:c>
      <x:c r="X9" s="12" t="str">
        <x:v>True</x:v>
      </x:c>
      <x:c r="Y9" s="16" t="n">
        <x:v>36.610000000000014</x:v>
      </x:c>
      <x:c r="Z9" s="18" t="n">
        <x:v>40</x:v>
      </x:c>
      <x:c r="AA9" s="12" t="str">
        <x:v>True</x:v>
      </x:c>
      <x:c r="AB9" s="12" t="str">
        <x:v>[80,100)</x:v>
      </x:c>
      <x:c r="AC9" s="18" t="n">
        <x:v>176</x:v>
      </x:c>
      <x:c r="AD9" s="18" t="n">
        <x:v>179</x:v>
      </x:c>
      <x:c r="AE9" s="12" t="str">
        <x:v>Reset warning begins.</x:v>
      </x:c>
      <x:c r="AF9" s="12" t="str">
        <x:v>review sampling criterion: first full-event gap&gt;3s; review sampling criterion: negative run&gt;=2; review sampling criterion: nonpositive run&gt;=2; review sampling criterion: peak_retreat&gt;=30</x:v>
      </x:c>
      <x:c r="AG9" s="18" t="n">
        <x:v>3895052</x:v>
      </x:c>
      <x:c r="AH9" s="18" t="n">
        <x:v>1</x:v>
      </x:c>
      <x:c r="AI9" s="18" t="n">
        <x:v>12</x:v>
      </x:c>
      <x:c r="AJ9" t="n">
        <x:v>1</x:v>
      </x:c>
    </x:row>
    <x:row r="10">
      <x:c r="A10" s="12" t="str">
        <x:v>C04</x:v>
      </x:c>
      <x:c r="B10" s="12" t="str">
        <x:v>C04_M05</x:v>
      </x:c>
      <x:c r="C10" s="12" t="str">
        <x:v>CLEAR_RESET</x:v>
      </x:c>
      <x:c r="D10" s="18" t="n">
        <x:v>3</x:v>
      </x:c>
      <x:c r="E10" s="12" t="str">
        <x:v>LOCKED</x:v>
      </x:c>
      <x:c r="F10" s="12" t="str">
        <x:v>confirmed reset evidence</x:v>
      </x:c>
      <x:c r="G10" s="13" t="b">
        <x:v>1</x:v>
      </x:c>
      <x:c r="H10" s="13" t="b">
        <x:v>0</x:v>
      </x:c>
      <x:c r="I10" s="16"/>
      <x:c r="J10" s="18" t="n">
        <x:v>189</x:v>
      </x:c>
      <x:c r="K10" s="16" t="n">
        <x:v>31.020999999999987</x:v>
      </x:c>
      <x:c r="L10" s="12" t="str">
        <x:v>Pass</x:v>
      </x:c>
      <x:c r="M10" s="12" t="str">
        <x:v>Bayer Leverkusen</x:v>
      </x:c>
      <x:c r="N10" s="12"/>
      <x:c r="O10" s="16" t="n">
        <x:v>57</x:v>
      </x:c>
      <x:c r="P10" s="16" t="n">
        <x:v>61.9</x:v>
      </x:c>
      <x:c r="Q10" s="16" t="n">
        <x:v>97.2</x:v>
      </x:c>
      <x:c r="R10" s="16" t="n">
        <x:v>40.2</x:v>
      </x:c>
      <x:c r="S10" s="16" t="n">
        <x:v>-10.599999999999994</x:v>
      </x:c>
      <x:c r="T10" s="18" t="n">
        <x:v>4</x:v>
      </x:c>
      <x:c r="U10" s="18" t="n">
        <x:v>4</x:v>
      </x:c>
      <x:c r="V10" s="16" t="n">
        <x:v>23.770999999999987</x:v>
      </x:c>
      <x:c r="W10" s="18" t="n">
        <x:v>18</x:v>
      </x:c>
      <x:c r="X10" s="12" t="str">
        <x:v>True</x:v>
      </x:c>
      <x:c r="Y10" s="16" t="n">
        <x:v>25.382000000000005</x:v>
      </x:c>
      <x:c r="Z10" s="18" t="n">
        <x:v>28</x:v>
      </x:c>
      <x:c r="AA10" s="12" t="str">
        <x:v>True</x:v>
      </x:c>
      <x:c r="AB10" s="12" t="str">
        <x:v>[80,100)</x:v>
      </x:c>
      <x:c r="AC10" s="18" t="n">
        <x:v>187</x:v>
      </x:c>
      <x:c r="AD10" s="18" t="n">
        <x:v>191</x:v>
      </x:c>
      <x:c r="AE10" s="12" t="str">
        <x:v>Original attack clearly abandoned/reorganized.</x:v>
      </x:c>
      <x:c r="AF10" s="12" t="str">
        <x:v>review sampling criterion: peak_retreat&gt;=40</x:v>
      </x:c>
      <x:c r="AG10" s="18" t="n">
        <x:v>3895052</x:v>
      </x:c>
      <x:c r="AH10" s="18" t="n">
        <x:v>1</x:v>
      </x:c>
      <x:c r="AI10" s="18" t="n">
        <x:v>12</x:v>
      </x:c>
      <x:c r="AJ10" t="n">
        <x:v>1</x:v>
      </x:c>
    </x:row>
    <x:row r="11">
      <x:c r="A11" s="12" t="str">
        <x:v>C04</x:v>
      </x:c>
      <x:c r="B11" s="12" t="str">
        <x:v>C04_M06</x:v>
      </x:c>
      <x:c r="C11" s="12" t="str">
        <x:v>CLEAR_RESET</x:v>
      </x:c>
      <x:c r="D11" s="18" t="n">
        <x:v>3</x:v>
      </x:c>
      <x:c r="E11" s="12" t="str">
        <x:v>LOCKED</x:v>
      </x:c>
      <x:c r="F11" s="12" t="str">
        <x:v>confirmed reset evidence</x:v>
      </x:c>
      <x:c r="G11" s="13" t="b">
        <x:v>1</x:v>
      </x:c>
      <x:c r="H11" s="13" t="b">
        <x:v>0</x:v>
      </x:c>
      <x:c r="I11" s="16"/>
      <x:c r="J11" s="18" t="n">
        <x:v>192</x:v>
      </x:c>
      <x:c r="K11" s="16" t="n">
        <x:v>33.363</x:v>
      </x:c>
      <x:c r="L11" s="12" t="str">
        <x:v>Pass</x:v>
      </x:c>
      <x:c r="M11" s="12" t="str">
        <x:v>Bayer Leverkusen</x:v>
      </x:c>
      <x:c r="N11" s="12"/>
      <x:c r="O11" s="16" t="n">
        <x:v>14.2</x:v>
      </x:c>
      <x:c r="P11" s="16" t="n">
        <x:v>51.6</x:v>
      </x:c>
      <x:c r="Q11" s="16" t="n">
        <x:v>97.2</x:v>
      </x:c>
      <x:c r="R11" s="16" t="n">
        <x:v>83</x:v>
      </x:c>
      <x:c r="S11" s="16" t="n">
        <x:v>-37.400000000000006</x:v>
      </x:c>
      <x:c r="T11" s="18" t="n">
        <x:v>6</x:v>
      </x:c>
      <x:c r="U11" s="18" t="n">
        <x:v>6</x:v>
      </x:c>
      <x:c r="V11" s="16" t="n">
        <x:v>26.113</x:v>
      </x:c>
      <x:c r="W11" s="18" t="n">
        <x:v>21</x:v>
      </x:c>
      <x:c r="X11" s="12" t="str">
        <x:v>True</x:v>
      </x:c>
      <x:c r="Y11" s="16" t="n">
        <x:v>23.039999999999992</x:v>
      </x:c>
      <x:c r="Z11" s="18" t="n">
        <x:v>25</x:v>
      </x:c>
      <x:c r="AA11" s="12" t="str">
        <x:v>True</x:v>
      </x:c>
      <x:c r="AB11" s="12" t="str">
        <x:v>[80,100)</x:v>
      </x:c>
      <x:c r="AC11" s="18" t="n">
        <x:v>191</x:v>
      </x:c>
      <x:c r="AD11" s="18" t="n">
        <x:v>197</x:v>
      </x:c>
      <x:c r="AE11" s="12" t="str">
        <x:v>Same established reset excursion; not a second cut.</x:v>
      </x:c>
      <x:c r="AF11" s="12" t="str">
        <x:v>review sampling criterion: single_negative&gt;=30</x:v>
      </x:c>
      <x:c r="AG11" s="18" t="n">
        <x:v>3895052</x:v>
      </x:c>
      <x:c r="AH11" s="18" t="n">
        <x:v>1</x:v>
      </x:c>
      <x:c r="AI11" s="18" t="n">
        <x:v>12</x:v>
      </x:c>
      <x:c r="AJ11" t="n">
        <x:v>1</x:v>
      </x:c>
    </x:row>
    <x:row r="12">
      <x:c r="A12" s="12" t="str">
        <x:v>C04</x:v>
      </x:c>
      <x:c r="B12" s="12" t="str">
        <x:v>C04_M08</x:v>
      </x:c>
      <x:c r="C12" s="12" t="str"/>
      <x:c r="D12" s="18"/>
      <x:c r="E12" s="12" t="str">
        <x:v>DEFERRED</x:v>
      </x:c>
      <x:c r="F12" s="12" t="str"/>
      <x:c r="G12" s="13" t="b">
        <x:v>0</x:v>
      </x:c>
      <x:c r="H12" s="13" t="b">
        <x:v>0</x:v>
      </x:c>
      <x:c r="I12" s="16"/>
      <x:c r="J12" s="18" t="n">
        <x:v>217</x:v>
      </x:c>
      <x:c r="K12" s="16" t="n">
        <x:v>56.40299999999999</x:v>
      </x:c>
      <x:c r="L12" s="12" t="str">
        <x:v>Pass</x:v>
      </x:c>
      <x:c r="M12" s="12" t="str">
        <x:v>Bayer Leverkusen</x:v>
      </x:c>
      <x:c r="N12" s="12"/>
      <x:c r="O12" s="16" t="n">
        <x:v>109.5</x:v>
      </x:c>
      <x:c r="P12" s="16" t="n">
        <x:v>79.3</x:v>
      </x:c>
      <x:c r="Q12" s="16" t="n">
        <x:v>109.5</x:v>
      </x:c>
      <x:c r="R12" s="16" t="n">
        <x:v>0</x:v>
      </x:c>
      <x:c r="S12" s="16" t="n">
        <x:v>0</x:v>
      </x:c>
      <x:c r="T12" s="18"/>
      <x:c r="U12" s="18"/>
      <x:c r="V12" s="16" t="n">
        <x:v>0</x:v>
      </x:c>
      <x:c r="W12" s="18" t="n">
        <x:v>0</x:v>
      </x:c>
      <x:c r="X12" s="12"/>
      <x:c r="Y12" s="16"/>
      <x:c r="Z12" s="18"/>
      <x:c r="AA12" s="12"/>
      <x:c r="AB12" s="12" t="str">
        <x:v>[80,100)</x:v>
      </x:c>
      <x:c r="AC12" s="18" t="n">
        <x:v>216</x:v>
      </x:c>
      <x:c r="AD12" s="18" t="n">
        <x:v>218</x:v>
      </x:c>
      <x:c r="AE12" s="12" t="str"/>
      <x:c r="AF12" s="12" t="str">
        <x:v>review sampling criterion: shortest/longest observed record-peak recovery</x:v>
      </x:c>
      <x:c r="AG12" s="18" t="n">
        <x:v>3895052</x:v>
      </x:c>
      <x:c r="AH12" s="18" t="n">
        <x:v>1</x:v>
      </x:c>
      <x:c r="AI12" s="18" t="n">
        <x:v>12</x:v>
      </x:c>
      <x:c r="AJ12" t="n">
        <x:v>0</x:v>
      </x:c>
    </x:row>
    <x:row r="13">
      <x:c r="A13" s="12" t="str">
        <x:v>C05</x:v>
      </x:c>
      <x:c r="B13" s="12" t="str">
        <x:v>C05_M02</x:v>
      </x:c>
      <x:c r="C13" s="12" t="str">
        <x:v>POSSIBLE_RESET</x:v>
      </x:c>
      <x:c r="D13" s="18" t="n">
        <x:v>2</x:v>
      </x:c>
      <x:c r="E13" s="12" t="str">
        <x:v>LOCKED</x:v>
      </x:c>
      <x:c r="F13" s="12" t="str">
        <x:v>warning evidence</x:v>
      </x:c>
      <x:c r="G13" s="13" t="b">
        <x:v>1</x:v>
      </x:c>
      <x:c r="H13" s="13" t="b">
        <x:v>0</x:v>
      </x:c>
      <x:c r="I13" s="16"/>
      <x:c r="J13" s="18" t="n">
        <x:v>3612</x:v>
      </x:c>
      <x:c r="K13" s="16" t="n">
        <x:v>1.2330000000001746</x:v>
      </x:c>
      <x:c r="L13" s="12" t="str">
        <x:v>Carry</x:v>
      </x:c>
      <x:c r="M13" s="12" t="str">
        <x:v>Bayer Leverkusen</x:v>
      </x:c>
      <x:c r="N13" s="12"/>
      <x:c r="O13" s="16" t="n">
        <x:v>69.1</x:v>
      </x:c>
      <x:c r="P13" s="16" t="n">
        <x:v>83.2</x:v>
      </x:c>
      <x:c r="Q13" s="16" t="n">
        <x:v>83.2</x:v>
      </x:c>
      <x:c r="R13" s="16" t="n">
        <x:v>14.100000000000009</x:v>
      </x:c>
      <x:c r="S13" s="16" t="n">
        <x:v>-14.100000000000009</x:v>
      </x:c>
      <x:c r="T13" s="18" t="n">
        <x:v>1</x:v>
      </x:c>
      <x:c r="U13" s="18" t="n">
        <x:v>1</x:v>
      </x:c>
      <x:c r="V13" s="16" t="n">
        <x:v>0</x:v>
      </x:c>
      <x:c r="W13" s="18" t="n">
        <x:v>0</x:v>
      </x:c>
      <x:c r="X13" s="12" t="str">
        <x:v>True</x:v>
      </x:c>
      <x:c r="Y13" s="16" t="n">
        <x:v>5.773999999999887</x:v>
      </x:c>
      <x:c r="Z13" s="18" t="n">
        <x:v>5</x:v>
      </x:c>
      <x:c r="AA13" s="12" t="str">
        <x:v>True</x:v>
      </x:c>
      <x:c r="AB13" s="12" t="str">
        <x:v>[60,80)</x:v>
      </x:c>
      <x:c r="AC13" s="18" t="n">
        <x:v>3610</x:v>
      </x:c>
      <x:c r="AD13" s="18" t="n">
        <x:v>3613</x:v>
      </x:c>
      <x:c r="AE13" s="12" t="str"/>
      <x:c r="AF13" s="12" t="str">
        <x:v>review sampling criterion: first negative vector (no magnitude minimum); review sampling criterion: peak_retreat&gt;=5; review sampling criterion: single_negative&gt;=5</x:v>
      </x:c>
      <x:c r="AG13" s="18" t="n">
        <x:v>3895052</x:v>
      </x:c>
      <x:c r="AH13" s="18" t="n">
        <x:v>2</x:v>
      </x:c>
      <x:c r="AI13" s="18" t="n">
        <x:v>174</x:v>
      </x:c>
      <x:c r="AJ13" t="n">
        <x:v>1</x:v>
      </x:c>
    </x:row>
    <x:row r="14">
      <x:c r="A14" s="12" t="str">
        <x:v>C05</x:v>
      </x:c>
      <x:c r="B14" s="12" t="str">
        <x:v>C05_M03</x:v>
      </x:c>
      <x:c r="C14" s="12" t="str">
        <x:v>CLEAR_RESET</x:v>
      </x:c>
      <x:c r="D14" s="18" t="n">
        <x:v>3</x:v>
      </x:c>
      <x:c r="E14" s="12" t="str">
        <x:v>LOCKED</x:v>
      </x:c>
      <x:c r="F14" s="12" t="str">
        <x:v>confirmed reset evidence</x:v>
      </x:c>
      <x:c r="G14" s="13" t="b">
        <x:v>1</x:v>
      </x:c>
      <x:c r="H14" s="13" t="b">
        <x:v>0</x:v>
      </x:c>
      <x:c r="I14" s="16"/>
      <x:c r="J14" s="18" t="n">
        <x:v>3614</x:v>
      </x:c>
      <x:c r="K14" s="16" t="n">
        <x:v>4.032000000000153</x:v>
      </x:c>
      <x:c r="L14" s="12" t="str">
        <x:v>Pass</x:v>
      </x:c>
      <x:c r="M14" s="12" t="str">
        <x:v>Bayer Leverkusen</x:v>
      </x:c>
      <x:c r="N14" s="12"/>
      <x:c r="O14" s="16" t="n">
        <x:v>35.3</x:v>
      </x:c>
      <x:c r="P14" s="16" t="n">
        <x:v>69.1</x:v>
      </x:c>
      <x:c r="Q14" s="16" t="n">
        <x:v>83.2</x:v>
      </x:c>
      <x:c r="R14" s="16" t="n">
        <x:v>47.900000000000006</x:v>
      </x:c>
      <x:c r="S14" s="16" t="n">
        <x:v>-33.8</x:v>
      </x:c>
      <x:c r="T14" s="18" t="n">
        <x:v>2</x:v>
      </x:c>
      <x:c r="U14" s="18" t="n">
        <x:v>2</x:v>
      </x:c>
      <x:c r="V14" s="16" t="n">
        <x:v>2.798999999999978</x:v>
      </x:c>
      <x:c r="W14" s="18" t="n">
        <x:v>2</x:v>
      </x:c>
      <x:c r="X14" s="12" t="str">
        <x:v>True</x:v>
      </x:c>
      <x:c r="Y14" s="16" t="n">
        <x:v>2.974999999999909</x:v>
      </x:c>
      <x:c r="Z14" s="18" t="n">
        <x:v>3</x:v>
      </x:c>
      <x:c r="AA14" s="12" t="str">
        <x:v>True</x:v>
      </x:c>
      <x:c r="AB14" s="12" t="str">
        <x:v>[60,80)</x:v>
      </x:c>
      <x:c r="AC14" s="18" t="n">
        <x:v>3613</x:v>
      </x:c>
      <x:c r="AD14" s="18" t="n">
        <x:v>3616</x:v>
      </x:c>
      <x:c r="AE14" s="12" t="str"/>
      <x:c r="AF14" s="12" t="str">
        <x:v>review sampling criterion: negative run&gt;=2; review sampling criterion: peak_retreat&gt;=15; review sampling criterion: peak_retreat&gt;=30; review sampling criterion: peak_retreat&gt;=40; review sampling criterion: single_negative&gt;=15; review sampling criterion: single_negative&gt;=30</x:v>
      </x:c>
      <x:c r="AG14" s="18" t="n">
        <x:v>3895052</x:v>
      </x:c>
      <x:c r="AH14" s="18" t="n">
        <x:v>2</x:v>
      </x:c>
      <x:c r="AI14" s="18" t="n">
        <x:v>174</x:v>
      </x:c>
      <x:c r="AJ14" t="n">
        <x:v>1</x:v>
      </x:c>
    </x:row>
    <x:row r="15">
      <x:c r="A15" s="12" t="str">
        <x:v>C05</x:v>
      </x:c>
      <x:c r="B15" s="12" t="str">
        <x:v>C05_M04</x:v>
      </x:c>
      <x:c r="C15" s="12" t="str">
        <x:v>CLEAR_RESET</x:v>
      </x:c>
      <x:c r="D15" s="18" t="n">
        <x:v>3</x:v>
      </x:c>
      <x:c r="E15" s="12" t="str">
        <x:v>LOCKED</x:v>
      </x:c>
      <x:c r="F15" s="12" t="str">
        <x:v>confirmed reset evidence</x:v>
      </x:c>
      <x:c r="G15" s="13" t="b">
        <x:v>1</x:v>
      </x:c>
      <x:c r="H15" s="13" t="b">
        <x:v>0</x:v>
      </x:c>
      <x:c r="I15" s="16"/>
      <x:c r="J15" s="18" t="n">
        <x:v>3616</x:v>
      </x:c>
      <x:c r="K15" s="16" t="n">
        <x:v>6.967000000000098</x:v>
      </x:c>
      <x:c r="L15" s="12" t="str">
        <x:v>Carry</x:v>
      </x:c>
      <x:c r="M15" s="12" t="str">
        <x:v>Bayer Leverkusen</x:v>
      </x:c>
      <x:c r="N15" s="12"/>
      <x:c r="O15" s="16" t="n">
        <x:v>35.3</x:v>
      </x:c>
      <x:c r="P15" s="16" t="n">
        <x:v>35.3</x:v>
      </x:c>
      <x:c r="Q15" s="16" t="n">
        <x:v>83.2</x:v>
      </x:c>
      <x:c r="R15" s="16" t="n">
        <x:v>47.900000000000006</x:v>
      </x:c>
      <x:c r="S15" s="16" t="n">
        <x:v>-33.8</x:v>
      </x:c>
      <x:c r="T15" s="18"/>
      <x:c r="U15" s="18" t="n">
        <x:v>3</x:v>
      </x:c>
      <x:c r="V15" s="16" t="n">
        <x:v>5.733999999999924</x:v>
      </x:c>
      <x:c r="W15" s="18" t="n">
        <x:v>4</x:v>
      </x:c>
      <x:c r="X15" s="12" t="str">
        <x:v>True</x:v>
      </x:c>
      <x:c r="Y15" s="16" t="n">
        <x:v>0.03999999999996362</x:v>
      </x:c>
      <x:c r="Z15" s="18" t="n">
        <x:v>1</x:v>
      </x:c>
      <x:c r="AA15" s="12" t="str">
        <x:v>True</x:v>
      </x:c>
      <x:c r="AB15" s="12" t="str">
        <x:v>[60,80)</x:v>
      </x:c>
      <x:c r="AC15" s="18" t="n">
        <x:v>3614</x:v>
      </x:c>
      <x:c r="AD15" s="18" t="n">
        <x:v>3617</x:v>
      </x:c>
      <x:c r="AE15" s="12" t="str">
        <x:v>Same established reset excursion.</x:v>
      </x:c>
      <x:c r="AF15" s="12" t="str">
        <x:v>review sampling criterion: nonpositive run&gt;=2; review sampling criterion: nonpositive run&gt;=3</x:v>
      </x:c>
      <x:c r="AG15" s="18" t="n">
        <x:v>3895052</x:v>
      </x:c>
      <x:c r="AH15" s="18" t="n">
        <x:v>2</x:v>
      </x:c>
      <x:c r="AI15" s="18" t="n">
        <x:v>174</x:v>
      </x:c>
      <x:c r="AJ15" t="n">
        <x:v>1</x:v>
      </x:c>
    </x:row>
    <x:row r="16">
      <x:c r="A16" s="12" t="str">
        <x:v>C05</x:v>
      </x:c>
      <x:c r="B16" s="12" t="str">
        <x:v>C05_M05</x:v>
      </x:c>
      <x:c r="C16" s="12" t="str">
        <x:v>CONTINUE</x:v>
      </x:c>
      <x:c r="D16" s="18" t="n">
        <x:v>3</x:v>
      </x:c>
      <x:c r="E16" s="12" t="str">
        <x:v>LOCKED</x:v>
      </x:c>
      <x:c r="F16" s="12" t="str">
        <x:v>negative/control example</x:v>
      </x:c>
      <x:c r="G16" s="13" t="b">
        <x:v>1</x:v>
      </x:c>
      <x:c r="H16" s="13" t="b">
        <x:v>0</x:v>
      </x:c>
      <x:c r="I16" s="16"/>
      <x:c r="J16" s="18" t="n">
        <x:v>3617</x:v>
      </x:c>
      <x:c r="K16" s="16" t="n">
        <x:v>7.007000000000062</x:v>
      </x:c>
      <x:c r="L16" s="12" t="str">
        <x:v>Pass</x:v>
      </x:c>
      <x:c r="M16" s="12" t="str">
        <x:v>Bayer Leverkusen</x:v>
      </x:c>
      <x:c r="N16" s="12"/>
      <x:c r="O16" s="16" t="n">
        <x:v>83.7</x:v>
      </x:c>
      <x:c r="P16" s="16" t="n">
        <x:v>35.3</x:v>
      </x:c>
      <x:c r="Q16" s="16" t="n">
        <x:v>83.7</x:v>
      </x:c>
      <x:c r="R16" s="16" t="n">
        <x:v>0</x:v>
      </x:c>
      <x:c r="S16" s="16" t="n">
        <x:v>-33.8</x:v>
      </x:c>
      <x:c r="T16" s="18"/>
      <x:c r="U16" s="18"/>
      <x:c r="V16" s="16" t="n">
        <x:v>0</x:v>
      </x:c>
      <x:c r="W16" s="18" t="n">
        <x:v>0</x:v>
      </x:c>
      <x:c r="X16" s="12"/>
      <x:c r="Y16" s="16"/>
      <x:c r="Z16" s="18"/>
      <x:c r="AA16" s="12"/>
      <x:c r="AB16" s="12" t="str">
        <x:v>[60,80)</x:v>
      </x:c>
      <x:c r="AC16" s="18" t="n">
        <x:v>3616</x:v>
      </x:c>
      <x:c r="AD16" s="18" t="n">
        <x:v>3619</x:v>
      </x:c>
      <x:c r="AE16" s="12" t="str"/>
      <x:c r="AF16" s="12" t="str">
        <x:v>review sampling criterion: shortest/longest observed record-peak recovery</x:v>
      </x:c>
      <x:c r="AG16" s="18" t="n">
        <x:v>3895052</x:v>
      </x:c>
      <x:c r="AH16" s="18" t="n">
        <x:v>2</x:v>
      </x:c>
      <x:c r="AI16" s="18" t="n">
        <x:v>174</x:v>
      </x:c>
      <x:c r="AJ16" t="n">
        <x:v>1</x:v>
      </x:c>
    </x:row>
    <x:row r="17">
      <x:c r="A17" s="12" t="str">
        <x:v>C05</x:v>
      </x:c>
      <x:c r="B17" s="12" t="str">
        <x:v>C05_M06</x:v>
      </x:c>
      <x:c r="C17" s="12" t="str">
        <x:v>CONTINUE</x:v>
      </x:c>
      <x:c r="D17" s="18" t="n">
        <x:v>3</x:v>
      </x:c>
      <x:c r="E17" s="12" t="str">
        <x:v>LOCKED</x:v>
      </x:c>
      <x:c r="F17" s="12" t="str">
        <x:v>negative/control example</x:v>
      </x:c>
      <x:c r="G17" s="13" t="b">
        <x:v>0</x:v>
      </x:c>
      <x:c r="H17" s="13" t="b">
        <x:v>0</x:v>
      </x:c>
      <x:c r="I17" s="16"/>
      <x:c r="J17" s="18" t="n">
        <x:v>3618</x:v>
      </x:c>
      <x:c r="K17" s="16" t="n">
        <x:v>11.08199999999988</x:v>
      </x:c>
      <x:c r="L17" s="12" t="str">
        <x:v>Ball Receipt*</x:v>
      </x:c>
      <x:c r="M17" s="12" t="str">
        <x:v>Bayer Leverkusen</x:v>
      </x:c>
      <x:c r="N17" s="12"/>
      <x:c r="O17" s="16"/>
      <x:c r="P17" s="16"/>
      <x:c r="Q17" s="16" t="n">
        <x:v>83.7</x:v>
      </x:c>
      <x:c r="R17" s="16"/>
      <x:c r="S17" s="16" t="n">
        <x:v>-33.8</x:v>
      </x:c>
      <x:c r="T17" s="18"/>
      <x:c r="U17" s="18"/>
      <x:c r="V17" s="16" t="n">
        <x:v>4.074999999999818</x:v>
      </x:c>
      <x:c r="W17" s="18" t="n">
        <x:v>1</x:v>
      </x:c>
      <x:c r="X17" s="12"/>
      <x:c r="Y17" s="16"/>
      <x:c r="Z17" s="18"/>
      <x:c r="AA17" s="12"/>
      <x:c r="AB17" s="12" t="str">
        <x:v>[60,80)</x:v>
      </x:c>
      <x:c r="AC17" s="18" t="n">
        <x:v>3617</x:v>
      </x:c>
      <x:c r="AD17" s="18" t="n">
        <x:v>3619</x:v>
      </x:c>
      <x:c r="AE17" s="12" t="str"/>
      <x:c r="AF17" s="12" t="str">
        <x:v>review sampling criterion: first full-event gap&gt;3s</x:v>
      </x:c>
      <x:c r="AG17" s="18" t="n">
        <x:v>3895052</x:v>
      </x:c>
      <x:c r="AH17" s="18" t="n">
        <x:v>2</x:v>
      </x:c>
      <x:c r="AI17" s="18" t="n">
        <x:v>174</x:v>
      </x:c>
      <x:c r="AJ17" t="n">
        <x:v>0</x:v>
      </x:c>
    </x:row>
    <x:row r="18">
      <x:c r="A18" s="12" t="str">
        <x:v>C05</x:v>
      </x:c>
      <x:c r="B18" s="12" t="str">
        <x:v>C05_M07</x:v>
      </x:c>
      <x:c r="C18" s="12" t="str">
        <x:v>CONTINUE</x:v>
      </x:c>
      <x:c r="D18" s="18" t="n">
        <x:v>3</x:v>
      </x:c>
      <x:c r="E18" s="12" t="str">
        <x:v>LOCKED</x:v>
      </x:c>
      <x:c r="F18" s="12" t="str">
        <x:v>negative/control example</x:v>
      </x:c>
      <x:c r="G18" s="13" t="b">
        <x:v>1</x:v>
      </x:c>
      <x:c r="H18" s="13" t="b">
        <x:v>0</x:v>
      </x:c>
      <x:c r="I18" s="16"/>
      <x:c r="J18" s="18" t="n">
        <x:v>3622</x:v>
      </x:c>
      <x:c r="K18" s="16" t="n">
        <x:v>14.485999999999876</x:v>
      </x:c>
      <x:c r="L18" s="12" t="str">
        <x:v>Pass</x:v>
      </x:c>
      <x:c r="M18" s="12" t="str">
        <x:v>Bayer Leverkusen</x:v>
      </x:c>
      <x:c r="N18" s="12"/>
      <x:c r="O18" s="16" t="n">
        <x:v>71.1</x:v>
      </x:c>
      <x:c r="P18" s="16" t="n">
        <x:v>71.9</x:v>
      </x:c>
      <x:c r="Q18" s="16" t="n">
        <x:v>83.7</x:v>
      </x:c>
      <x:c r="R18" s="16" t="n">
        <x:v>12.600000000000009</x:v>
      </x:c>
      <x:c r="S18" s="16" t="n">
        <x:v>-7.299999999999997</x:v>
      </x:c>
      <x:c r="T18" s="18" t="n">
        <x:v>3</x:v>
      </x:c>
      <x:c r="U18" s="18" t="n">
        <x:v>3</x:v>
      </x:c>
      <x:c r="V18" s="16" t="n">
        <x:v>3.4039999999999964</x:v>
      </x:c>
      <x:c r="W18" s="18" t="n">
        <x:v>3</x:v>
      </x:c>
      <x:c r="X18" s="12" t="str">
        <x:v>True</x:v>
      </x:c>
      <x:c r="Y18" s="16" t="n">
        <x:v>0.6530000000002474</x:v>
      </x:c>
      <x:c r="Z18" s="18" t="n">
        <x:v>2</x:v>
      </x:c>
      <x:c r="AA18" s="12" t="str">
        <x:v>True</x:v>
      </x:c>
      <x:c r="AB18" s="12" t="str">
        <x:v>[60,80)</x:v>
      </x:c>
      <x:c r="AC18" s="18" t="n">
        <x:v>3621</x:v>
      </x:c>
      <x:c r="AD18" s="18" t="n">
        <x:v>3624</x:v>
      </x:c>
      <x:c r="AE18" s="12" t="str"/>
      <x:c r="AF18" s="12" t="str">
        <x:v>review sampling criterion: negative run&gt;=3</x:v>
      </x:c>
      <x:c r="AG18" s="18" t="n">
        <x:v>3895052</x:v>
      </x:c>
      <x:c r="AH18" s="18" t="n">
        <x:v>2</x:v>
      </x:c>
      <x:c r="AI18" s="18" t="n">
        <x:v>174</x:v>
      </x:c>
      <x:c r="AJ18" t="n">
        <x:v>1</x:v>
      </x:c>
    </x:row>
    <x:row r="19">
      <x:c r="A19" s="12" t="str">
        <x:v>C05</x:v>
      </x:c>
      <x:c r="B19" s="12" t="str">
        <x:v>C05_M08</x:v>
      </x:c>
      <x:c r="C19" s="12" t="str">
        <x:v>CONTINUE</x:v>
      </x:c>
      <x:c r="D19" s="18" t="n">
        <x:v>3</x:v>
      </x:c>
      <x:c r="E19" s="12" t="str">
        <x:v>LOCKED</x:v>
      </x:c>
      <x:c r="F19" s="12" t="str">
        <x:v>negative/control example</x:v>
      </x:c>
      <x:c r="G19" s="13" t="b">
        <x:v>1</x:v>
      </x:c>
      <x:c r="H19" s="13" t="b">
        <x:v>0</x:v>
      </x:c>
      <x:c r="I19" s="16"/>
      <x:c r="J19" s="18" t="n">
        <x:v>3624</x:v>
      </x:c>
      <x:c r="K19" s="16" t="n">
        <x:v>15.139000000000124</x:v>
      </x:c>
      <x:c r="L19" s="12" t="str">
        <x:v>Pass</x:v>
      </x:c>
      <x:c r="M19" s="12" t="str">
        <x:v>Bayer Leverkusen</x:v>
      </x:c>
      <x:c r="N19" s="12"/>
      <x:c r="O19" s="16" t="n">
        <x:v>90.1</x:v>
      </x:c>
      <x:c r="P19" s="16" t="n">
        <x:v>73.6</x:v>
      </x:c>
      <x:c r="Q19" s="16" t="n">
        <x:v>90.1</x:v>
      </x:c>
      <x:c r="R19" s="16" t="n">
        <x:v>0</x:v>
      </x:c>
      <x:c r="S19" s="16" t="n">
        <x:v>-4.5</x:v>
      </x:c>
      <x:c r="T19" s="18"/>
      <x:c r="U19" s="18"/>
      <x:c r="V19" s="16" t="n">
        <x:v>0</x:v>
      </x:c>
      <x:c r="W19" s="18" t="n">
        <x:v>0</x:v>
      </x:c>
      <x:c r="X19" s="12"/>
      <x:c r="Y19" s="16"/>
      <x:c r="Z19" s="18"/>
      <x:c r="AA19" s="12"/>
      <x:c r="AB19" s="12" t="str">
        <x:v>[60,80)</x:v>
      </x:c>
      <x:c r="AC19" s="18" t="n">
        <x:v>3622</x:v>
      </x:c>
      <x:c r="AD19" s="18" t="n">
        <x:v>3626</x:v>
      </x:c>
      <x:c r="AE19" s="12" t="str"/>
      <x:c r="AF19" s="12" t="str">
        <x:v>review sampling criterion: first negative-to-positive action turn; review sampling criterion: shortest/longest observed record-peak recovery</x:v>
      </x:c>
      <x:c r="AG19" s="18" t="n">
        <x:v>3895052</x:v>
      </x:c>
      <x:c r="AH19" s="18" t="n">
        <x:v>2</x:v>
      </x:c>
      <x:c r="AI19" s="18" t="n">
        <x:v>174</x:v>
      </x:c>
      <x:c r="AJ19" t="n">
        <x:v>1</x:v>
      </x:c>
    </x:row>
    <x:row r="20">
      <x:c r="A20" s="12" t="str">
        <x:v>C06</x:v>
      </x:c>
      <x:c r="B20" s="12" t="str">
        <x:v>C06_M02</x:v>
      </x:c>
      <x:c r="C20" s="12" t="str">
        <x:v>CONTINUE</x:v>
      </x:c>
      <x:c r="D20" s="18" t="n">
        <x:v>3</x:v>
      </x:c>
      <x:c r="E20" s="12" t="str">
        <x:v>LOCKED</x:v>
      </x:c>
      <x:c r="F20" s="12" t="str">
        <x:v>negative/control example</x:v>
      </x:c>
      <x:c r="G20" s="13" t="b">
        <x:v>1</x:v>
      </x:c>
      <x:c r="H20" s="13" t="b">
        <x:v>0</x:v>
      </x:c>
      <x:c r="I20" s="16"/>
      <x:c r="J20" s="18" t="n">
        <x:v>432</x:v>
      </x:c>
      <x:c r="K20" s="16" t="n">
        <x:v>12.032999999999902</x:v>
      </x:c>
      <x:c r="L20" s="12" t="str">
        <x:v>Pass</x:v>
      </x:c>
      <x:c r="M20" s="12" t="str">
        <x:v>Bayer Leverkusen</x:v>
      </x:c>
      <x:c r="N20" s="12"/>
      <x:c r="O20" s="16" t="n">
        <x:v>69</x:v>
      </x:c>
      <x:c r="P20" s="16" t="n">
        <x:v>56.5</x:v>
      </x:c>
      <x:c r="Q20" s="16" t="n">
        <x:v>69</x:v>
      </x:c>
      <x:c r="R20" s="16" t="n">
        <x:v>0</x:v>
      </x:c>
      <x:c r="S20" s="16" t="n">
        <x:v>0</x:v>
      </x:c>
      <x:c r="T20" s="18"/>
      <x:c r="U20" s="18"/>
      <x:c r="V20" s="16" t="n">
        <x:v>0</x:v>
      </x:c>
      <x:c r="W20" s="18" t="n">
        <x:v>0</x:v>
      </x:c>
      <x:c r="X20" s="12"/>
      <x:c r="Y20" s="16"/>
      <x:c r="Z20" s="18"/>
      <x:c r="AA20" s="12"/>
      <x:c r="AB20" s="12" t="str">
        <x:v>[30,60)</x:v>
      </x:c>
      <x:c r="AC20" s="18" t="n">
        <x:v>431</x:v>
      </x:c>
      <x:c r="AD20" s="18" t="n">
        <x:v>434</x:v>
      </x:c>
      <x:c r="AE20" s="12" t="str"/>
      <x:c r="AF20" s="12" t="str">
        <x:v>review sampling criterion: first full-event gap&gt;3s</x:v>
      </x:c>
      <x:c r="AG20" s="18" t="n">
        <x:v>3895060</x:v>
      </x:c>
      <x:c r="AH20" s="18" t="n">
        <x:v>1</x:v>
      </x:c>
      <x:c r="AI20" s="18" t="n">
        <x:v>23</x:v>
      </x:c>
      <x:c r="AJ20" t="n">
        <x:v>1</x:v>
      </x:c>
    </x:row>
    <x:row r="21">
      <x:c r="A21" s="12" t="str">
        <x:v>C06</x:v>
      </x:c>
      <x:c r="B21" s="12" t="str">
        <x:v>C06_M03</x:v>
      </x:c>
      <x:c r="C21" s="12" t="str">
        <x:v>CONTINUE</x:v>
      </x:c>
      <x:c r="D21" s="18" t="n">
        <x:v>3</x:v>
      </x:c>
      <x:c r="E21" s="12" t="str">
        <x:v>LOCKED</x:v>
      </x:c>
      <x:c r="F21" s="12" t="str">
        <x:v>negative/control example</x:v>
      </x:c>
      <x:c r="G21" s="13" t="b">
        <x:v>1</x:v>
      </x:c>
      <x:c r="H21" s="13" t="b">
        <x:v>0</x:v>
      </x:c>
      <x:c r="I21" s="16"/>
      <x:c r="J21" s="18" t="n">
        <x:v>438</x:v>
      </x:c>
      <x:c r="K21" s="16" t="n">
        <x:v>17.076999999999998</x:v>
      </x:c>
      <x:c r="L21" s="12" t="str">
        <x:v>Pass</x:v>
      </x:c>
      <x:c r="M21" s="12" t="str">
        <x:v>Bayer Leverkusen</x:v>
      </x:c>
      <x:c r="N21" s="12"/>
      <x:c r="O21" s="16" t="n">
        <x:v>104.7</x:v>
      </x:c>
      <x:c r="P21" s="16" t="n">
        <x:v>80.5</x:v>
      </x:c>
      <x:c r="Q21" s="16" t="n">
        <x:v>104.7</x:v>
      </x:c>
      <x:c r="R21" s="16" t="n">
        <x:v>0</x:v>
      </x:c>
      <x:c r="S21" s="16" t="n">
        <x:v>0</x:v>
      </x:c>
      <x:c r="T21" s="18"/>
      <x:c r="U21" s="18"/>
      <x:c r="V21" s="16" t="n">
        <x:v>0</x:v>
      </x:c>
      <x:c r="W21" s="18" t="n">
        <x:v>0</x:v>
      </x:c>
      <x:c r="X21" s="12"/>
      <x:c r="Y21" s="16"/>
      <x:c r="Z21" s="18"/>
      <x:c r="AA21" s="12"/>
      <x:c r="AB21" s="12" t="str">
        <x:v>[30,60)</x:v>
      </x:c>
      <x:c r="AC21" s="18" t="n">
        <x:v>435</x:v>
      </x:c>
      <x:c r="AD21" s="18" t="n">
        <x:v>442</x:v>
      </x:c>
      <x:c r="AE21" s="12" t="str"/>
      <x:c r="AF21" s="12" t="str">
        <x:v>review sampling criterion: shortest/longest observed record-peak recovery</x:v>
      </x:c>
      <x:c r="AG21" s="18" t="n">
        <x:v>3895060</x:v>
      </x:c>
      <x:c r="AH21" s="18" t="n">
        <x:v>1</x:v>
      </x:c>
      <x:c r="AI21" s="18" t="n">
        <x:v>23</x:v>
      </x:c>
      <x:c r="AJ21" t="n">
        <x:v>1</x:v>
      </x:c>
    </x:row>
    <x:row r="22">
      <x:c r="A22" s="12" t="str">
        <x:v>C06</x:v>
      </x:c>
      <x:c r="B22" s="12" t="str">
        <x:v>C06_M05</x:v>
      </x:c>
      <x:c r="C22" s="12" t="str">
        <x:v>CONTINUE</x:v>
      </x:c>
      <x:c r="D22" s="18" t="n">
        <x:v>3</x:v>
      </x:c>
      <x:c r="E22" s="12" t="str">
        <x:v>LOCKED</x:v>
      </x:c>
      <x:c r="F22" s="12" t="str">
        <x:v>negative/control example</x:v>
      </x:c>
      <x:c r="G22" s="13" t="b">
        <x:v>0</x:v>
      </x:c>
      <x:c r="H22" s="13" t="b">
        <x:v>1</x:v>
      </x:c>
      <x:c r="I22" s="16"/>
      <x:c r="J22" s="18" t="n">
        <x:v>448</x:v>
      </x:c>
      <x:c r="K22" s="16" t="n">
        <x:v>38.527999999999906</x:v>
      </x:c>
      <x:c r="L22" s="12" t="str">
        <x:v>Pass</x:v>
      </x:c>
      <x:c r="M22" s="12" t="str">
        <x:v>Bayer Leverkusen</x:v>
      </x:c>
      <x:c r="N22" s="12"/>
      <x:c r="O22" s="16" t="n">
        <x:v>27.6</x:v>
      </x:c>
      <x:c r="P22" s="16" t="n">
        <x:v>41.2</x:v>
      </x:c>
      <x:c r="Q22" s="16" t="n">
        <x:v>104.7</x:v>
      </x:c>
      <x:c r="R22" s="16" t="n">
        <x:v>77.1</x:v>
      </x:c>
      <x:c r="S22" s="16" t="n">
        <x:v>-13.600000000000001</x:v>
      </x:c>
      <x:c r="T22" s="18" t="n">
        <x:v>1</x:v>
      </x:c>
      <x:c r="U22" s="18" t="n">
        <x:v>1</x:v>
      </x:c>
      <x:c r="V22" s="16" t="n">
        <x:v>21.450999999999908</x:v>
      </x:c>
      <x:c r="W22" s="18" t="n">
        <x:v>10</x:v>
      </x:c>
      <x:c r="X22" s="12" t="str">
        <x:v>False</x:v>
      </x:c>
      <x:c r="Y22" s="16"/>
      <x:c r="Z22" s="18"/>
      <x:c r="AA22" s="12" t="str">
        <x:v>False</x:v>
      </x:c>
      <x:c r="AB22" s="12" t="str">
        <x:v>[30,60)</x:v>
      </x:c>
      <x:c r="AC22" s="18" t="n">
        <x:v>445</x:v>
      </x:c>
      <x:c r="AD22" s="18" t="n">
        <x:v>450</x:v>
      </x:c>
      <x:c r="AE22" s="12" t="str">
        <x:v>New episode after Leverkusen regain.</x:v>
      </x:c>
      <x:c r="AF22" s="12" t="str">
        <x:v>review sampling criterion: first negative vector (no magnitude minimum); review sampling criterion: peak_retreat&gt;=15; review sampling criterion: peak_retreat&gt;=30; review sampling criterion: peak_retreat&gt;=40; review sampling criterion: peak_retreat&gt;=5; review sampling criterion: single_negative&gt;=5</x:v>
      </x:c>
      <x:c r="AG22" s="18" t="n">
        <x:v>3895060</x:v>
      </x:c>
      <x:c r="AH22" s="18" t="n">
        <x:v>1</x:v>
      </x:c>
      <x:c r="AI22" s="18" t="n">
        <x:v>23</x:v>
      </x:c>
      <x:c r="AJ22" t="n">
        <x:v>0</x:v>
      </x:c>
    </x:row>
    <x:row r="23">
      <x:c r="A23" s="12" t="str">
        <x:v>C06</x:v>
      </x:c>
      <x:c r="B23" s="12" t="str">
        <x:v>C06_M06</x:v>
      </x:c>
      <x:c r="C23" s="12" t="str">
        <x:v>CONTINUE</x:v>
      </x:c>
      <x:c r="D23" s="18" t="n">
        <x:v>3</x:v>
      </x:c>
      <x:c r="E23" s="12" t="str">
        <x:v>LOCKED</x:v>
      </x:c>
      <x:c r="F23" s="12" t="str">
        <x:v>negative/control example</x:v>
      </x:c>
      <x:c r="G23" s="13" t="b">
        <x:v>0</x:v>
      </x:c>
      <x:c r="H23" s="13" t="b">
        <x:v>1</x:v>
      </x:c>
      <x:c r="I23" s="16"/>
      <x:c r="J23" s="18" t="n">
        <x:v>451</x:v>
      </x:c>
      <x:c r="K23" s="16" t="n">
        <x:v>40.64099999999996</x:v>
      </x:c>
      <x:c r="L23" s="12" t="str">
        <x:v>Pass</x:v>
      </x:c>
      <x:c r="M23" s="12" t="str">
        <x:v>Bayer Leverkusen</x:v>
      </x:c>
      <x:c r="N23" s="12"/>
      <x:c r="O23" s="16" t="n">
        <x:v>7.2</x:v>
      </x:c>
      <x:c r="P23" s="16" t="n">
        <x:v>27.6</x:v>
      </x:c>
      <x:c r="Q23" s="16" t="n">
        <x:v>104.7</x:v>
      </x:c>
      <x:c r="R23" s="16" t="n">
        <x:v>97.5</x:v>
      </x:c>
      <x:c r="S23" s="16" t="n">
        <x:v>-20.400000000000002</x:v>
      </x:c>
      <x:c r="T23" s="18" t="n">
        <x:v>1</x:v>
      </x:c>
      <x:c r="U23" s="18" t="n">
        <x:v>3</x:v>
      </x:c>
      <x:c r="V23" s="16" t="n">
        <x:v>23.563999999999965</x:v>
      </x:c>
      <x:c r="W23" s="18" t="n">
        <x:v>13</x:v>
      </x:c>
      <x:c r="X23" s="12" t="str">
        <x:v>False</x:v>
      </x:c>
      <x:c r="Y23" s="16"/>
      <x:c r="Z23" s="18"/>
      <x:c r="AA23" s="12" t="str">
        <x:v>False</x:v>
      </x:c>
      <x:c r="AB23" s="12" t="str">
        <x:v>[30,60)</x:v>
      </x:c>
      <x:c r="AC23" s="18" t="n">
        <x:v>450</x:v>
      </x:c>
      <x:c r="AD23" s="18" t="n">
        <x:v>453</x:v>
      </x:c>
      <x:c r="AE23" s="12" t="str">
        <x:v>New episode after Leverkusen regain.</x:v>
      </x:c>
      <x:c r="AF23" s="12" t="str">
        <x:v>review sampling criterion: nonpositive run&gt;=2; review sampling criterion: nonpositive run&gt;=3; review sampling criterion: single_negative&gt;=15</x:v>
      </x:c>
      <x:c r="AG23" s="18" t="n">
        <x:v>3895060</x:v>
      </x:c>
      <x:c r="AH23" s="18" t="n">
        <x:v>1</x:v>
      </x:c>
      <x:c r="AI23" s="18" t="n">
        <x:v>23</x:v>
      </x:c>
      <x:c r="AJ23" t="n">
        <x:v>0</x:v>
      </x:c>
    </x:row>
    <x:row r="24">
      <x:c r="A24" s="12" t="str">
        <x:v>C06</x:v>
      </x:c>
      <x:c r="B24" s="12" t="str">
        <x:v>C06_M07</x:v>
      </x:c>
      <x:c r="C24" s="12" t="str">
        <x:v>CONTINUE</x:v>
      </x:c>
      <x:c r="D24" s="18" t="n">
        <x:v>3</x:v>
      </x:c>
      <x:c r="E24" s="12" t="str">
        <x:v>LOCKED</x:v>
      </x:c>
      <x:c r="F24" s="12" t="str">
        <x:v>negative/control example</x:v>
      </x:c>
      <x:c r="G24" s="13" t="b">
        <x:v>0</x:v>
      </x:c>
      <x:c r="H24" s="13" t="b">
        <x:v>1</x:v>
      </x:c>
      <x:c r="I24" s="16"/>
      <x:c r="J24" s="18" t="n">
        <x:v>453</x:v>
      </x:c>
      <x:c r="K24" s="16" t="n">
        <x:v>42.01699999999994</x:v>
      </x:c>
      <x:c r="L24" s="12" t="str">
        <x:v>Carry</x:v>
      </x:c>
      <x:c r="M24" s="12" t="str">
        <x:v>Bayer Leverkusen</x:v>
      </x:c>
      <x:c r="N24" s="12"/>
      <x:c r="O24" s="16" t="n">
        <x:v>7.5</x:v>
      </x:c>
      <x:c r="P24" s="16" t="n">
        <x:v>7.2</x:v>
      </x:c>
      <x:c r="Q24" s="16" t="n">
        <x:v>104.7</x:v>
      </x:c>
      <x:c r="R24" s="16" t="n">
        <x:v>97.2</x:v>
      </x:c>
      <x:c r="S24" s="16" t="n">
        <x:v>-20.400000000000002</x:v>
      </x:c>
      <x:c r="T24" s="18"/>
      <x:c r="U24" s="18"/>
      <x:c r="V24" s="16" t="n">
        <x:v>24.93999999999994</x:v>
      </x:c>
      <x:c r="W24" s="18" t="n">
        <x:v>15</x:v>
      </x:c>
      <x:c r="X24" s="12" t="str">
        <x:v>False</x:v>
      </x:c>
      <x:c r="Y24" s="16"/>
      <x:c r="Z24" s="18"/>
      <x:c r="AA24" s="12" t="str">
        <x:v>False</x:v>
      </x:c>
      <x:c r="AB24" s="12" t="str">
        <x:v>[30,60)</x:v>
      </x:c>
      <x:c r="AC24" s="18" t="n">
        <x:v>451</x:v>
      </x:c>
      <x:c r="AD24" s="18" t="n">
        <x:v>454</x:v>
      </x:c>
      <x:c r="AE24" s="12" t="str">
        <x:v>New episode after Leverkusen regain.</x:v>
      </x:c>
      <x:c r="AF24" s="12" t="str">
        <x:v>review sampling criterion: first negative-to-positive action turn</x:v>
      </x:c>
      <x:c r="AG24" s="18" t="n">
        <x:v>3895060</x:v>
      </x:c>
      <x:c r="AH24" s="18" t="n">
        <x:v>1</x:v>
      </x:c>
      <x:c r="AI24" s="18" t="n">
        <x:v>23</x:v>
      </x:c>
      <x:c r="AJ24" t="n">
        <x:v>0</x:v>
      </x:c>
    </x:row>
    <x:row r="25">
      <x:c r="A25" s="12" t="str">
        <x:v>C07</x:v>
      </x:c>
      <x:c r="B25" s="12" t="str">
        <x:v>C07_M01</x:v>
      </x:c>
      <x:c r="C25" s="12" t="str">
        <x:v>CONTINUE</x:v>
      </x:c>
      <x:c r="D25" s="18" t="n">
        <x:v>3</x:v>
      </x:c>
      <x:c r="E25" s="12" t="str">
        <x:v>LOCKED</x:v>
      </x:c>
      <x:c r="F25" s="12" t="str">
        <x:v>negative/control example</x:v>
      </x:c>
      <x:c r="G25" s="13" t="b">
        <x:v>0</x:v>
      </x:c>
      <x:c r="H25" s="13" t="b">
        <x:v>0</x:v>
      </x:c>
      <x:c r="I25" s="16"/>
      <x:c r="J25" s="18" t="n">
        <x:v>646</x:v>
      </x:c>
      <x:c r="K25" s="16" t="n">
        <x:v>5.4249999999999545</x:v>
      </x:c>
      <x:c r="L25" s="12" t="str">
        <x:v>Pressure</x:v>
      </x:c>
      <x:c r="M25" s="12" t="str">
        <x:v>Borussia Mönchengladbach</x:v>
      </x:c>
      <x:c r="N25" s="12"/>
      <x:c r="O25" s="16"/>
      <x:c r="P25" s="16" t="n">
        <x:v>48.099999999999994</x:v>
      </x:c>
      <x:c r="Q25" s="16" t="n">
        <x:v>41.4</x:v>
      </x:c>
      <x:c r="R25" s="16"/>
      <x:c r="S25" s="16" t="n">
        <x:v>0</x:v>
      </x:c>
      <x:c r="T25" s="18"/>
      <x:c r="U25" s="18"/>
      <x:c r="V25" s="16" t="n">
        <x:v>3.576999999999998</x:v>
      </x:c>
      <x:c r="W25" s="18" t="n">
        <x:v>1</x:v>
      </x:c>
      <x:c r="X25" s="12"/>
      <x:c r="Y25" s="16"/>
      <x:c r="Z25" s="18"/>
      <x:c r="AA25" s="12"/>
      <x:c r="AB25" s="12" t="str">
        <x:v>[0,30)</x:v>
      </x:c>
      <x:c r="AC25" s="18" t="n">
        <x:v>645</x:v>
      </x:c>
      <x:c r="AD25" s="18" t="n">
        <x:v>647</x:v>
      </x:c>
      <x:c r="AE25" s="12" t="str"/>
      <x:c r="AF25" s="12" t="str">
        <x:v>review sampling criterion: first full-event gap&gt;3s</x:v>
      </x:c>
      <x:c r="AG25" s="18" t="n">
        <x:v>3895060</x:v>
      </x:c>
      <x:c r="AH25" s="18" t="n">
        <x:v>1</x:v>
      </x:c>
      <x:c r="AI25" s="18" t="n">
        <x:v>36</x:v>
      </x:c>
      <x:c r="AJ25" t="n">
        <x:v>0</x:v>
      </x:c>
    </x:row>
    <x:row r="26">
      <x:c r="A26" s="12" t="str">
        <x:v>C07</x:v>
      </x:c>
      <x:c r="B26" s="12" t="str">
        <x:v>C07_M02</x:v>
      </x:c>
      <x:c r="C26" s="12" t="str">
        <x:v>CONTINUE</x:v>
      </x:c>
      <x:c r="D26" s="18" t="n">
        <x:v>3</x:v>
      </x:c>
      <x:c r="E26" s="12" t="str">
        <x:v>LOCKED</x:v>
      </x:c>
      <x:c r="F26" s="12" t="str">
        <x:v>negative/control example</x:v>
      </x:c>
      <x:c r="G26" s="13" t="b">
        <x:v>1</x:v>
      </x:c>
      <x:c r="H26" s="13" t="b">
        <x:v>0</x:v>
      </x:c>
      <x:c r="I26" s="16"/>
      <x:c r="J26" s="18" t="n">
        <x:v>647</x:v>
      </x:c>
      <x:c r="K26" s="16" t="n">
        <x:v>6.894999999999982</x:v>
      </x:c>
      <x:c r="L26" s="12" t="str">
        <x:v>Pass</x:v>
      </x:c>
      <x:c r="M26" s="12" t="str">
        <x:v>Bayer Leverkusen</x:v>
      </x:c>
      <x:c r="N26" s="12"/>
      <x:c r="O26" s="16" t="n">
        <x:v>30</x:v>
      </x:c>
      <x:c r="P26" s="16" t="n">
        <x:v>41.4</x:v>
      </x:c>
      <x:c r="Q26" s="16" t="n">
        <x:v>41.4</x:v>
      </x:c>
      <x:c r="R26" s="16" t="n">
        <x:v>11.399999999999999</x:v>
      </x:c>
      <x:c r="S26" s="16" t="n">
        <x:v>-11.399999999999999</x:v>
      </x:c>
      <x:c r="T26" s="18" t="n">
        <x:v>1</x:v>
      </x:c>
      <x:c r="U26" s="18" t="n">
        <x:v>1</x:v>
      </x:c>
      <x:c r="V26" s="16" t="n">
        <x:v>0</x:v>
      </x:c>
      <x:c r="W26" s="18" t="n">
        <x:v>0</x:v>
      </x:c>
      <x:c r="X26" s="12" t="str">
        <x:v>True</x:v>
      </x:c>
      <x:c r="Y26" s="16" t="n">
        <x:v>5.370999999999981</x:v>
      </x:c>
      <x:c r="Z26" s="18" t="n">
        <x:v>3</x:v>
      </x:c>
      <x:c r="AA26" s="12" t="str">
        <x:v>True</x:v>
      </x:c>
      <x:c r="AB26" s="12" t="str">
        <x:v>[0,30)</x:v>
      </x:c>
      <x:c r="AC26" s="18" t="n">
        <x:v>646</x:v>
      </x:c>
      <x:c r="AD26" s="18" t="n">
        <x:v>649</x:v>
      </x:c>
      <x:c r="AE26" s="12" t="str"/>
      <x:c r="AF26" s="12" t="str">
        <x:v>review sampling criterion: first negative vector (no magnitude minimum); review sampling criterion: peak_retreat&gt;=5; review sampling criterion: single_negative&gt;=5</x:v>
      </x:c>
      <x:c r="AG26" s="18" t="n">
        <x:v>3895060</x:v>
      </x:c>
      <x:c r="AH26" s="18" t="n">
        <x:v>1</x:v>
      </x:c>
      <x:c r="AI26" s="18" t="n">
        <x:v>36</x:v>
      </x:c>
      <x:c r="AJ26" t="n">
        <x:v>1</x:v>
      </x:c>
    </x:row>
    <x:row r="27">
      <x:c r="A27" s="12" t="str">
        <x:v>C07</x:v>
      </x:c>
      <x:c r="B27" s="12" t="str">
        <x:v>C07_M03</x:v>
      </x:c>
      <x:c r="C27" s="12" t="str">
        <x:v>CONTINUE</x:v>
      </x:c>
      <x:c r="D27" s="18" t="n">
        <x:v>3</x:v>
      </x:c>
      <x:c r="E27" s="12" t="str">
        <x:v>LOCKED</x:v>
      </x:c>
      <x:c r="F27" s="12" t="str">
        <x:v>negative/control example</x:v>
      </x:c>
      <x:c r="G27" s="13" t="b">
        <x:v>1</x:v>
      </x:c>
      <x:c r="H27" s="13" t="b">
        <x:v>0</x:v>
      </x:c>
      <x:c r="I27" s="16"/>
      <x:c r="J27" s="18" t="n">
        <x:v>649</x:v>
      </x:c>
      <x:c r="K27" s="16" t="n">
        <x:v>7.867999999999938</x:v>
      </x:c>
      <x:c r="L27" s="12" t="str">
        <x:v>Carry</x:v>
      </x:c>
      <x:c r="M27" s="12" t="str">
        <x:v>Bayer Leverkusen</x:v>
      </x:c>
      <x:c r="N27" s="12"/>
      <x:c r="O27" s="16" t="n">
        <x:v>40.4</x:v>
      </x:c>
      <x:c r="P27" s="16" t="n">
        <x:v>30</x:v>
      </x:c>
      <x:c r="Q27" s="16" t="n">
        <x:v>41.4</x:v>
      </x:c>
      <x:c r="R27" s="16" t="n">
        <x:v>1</x:v>
      </x:c>
      <x:c r="S27" s="16" t="n">
        <x:v>-11.399999999999999</x:v>
      </x:c>
      <x:c r="T27" s="18"/>
      <x:c r="U27" s="18"/>
      <x:c r="V27" s="16" t="n">
        <x:v>0.9729999999999563</x:v>
      </x:c>
      <x:c r="W27" s="18" t="n">
        <x:v>2</x:v>
      </x:c>
      <x:c r="X27" s="12" t="str">
        <x:v>True</x:v>
      </x:c>
      <x:c r="Y27" s="16" t="n">
        <x:v>4.398000000000025</x:v>
      </x:c>
      <x:c r="Z27" s="18" t="n">
        <x:v>1</x:v>
      </x:c>
      <x:c r="AA27" s="12" t="str">
        <x:v>True</x:v>
      </x:c>
      <x:c r="AB27" s="12" t="str">
        <x:v>[0,30)</x:v>
      </x:c>
      <x:c r="AC27" s="18" t="n">
        <x:v>647</x:v>
      </x:c>
      <x:c r="AD27" s="18" t="n">
        <x:v>650</x:v>
      </x:c>
      <x:c r="AE27" s="12" t="str"/>
      <x:c r="AF27" s="12" t="str">
        <x:v>review sampling criterion: first negative-to-positive action turn</x:v>
      </x:c>
      <x:c r="AG27" s="18" t="n">
        <x:v>3895060</x:v>
      </x:c>
      <x:c r="AH27" s="18" t="n">
        <x:v>1</x:v>
      </x:c>
      <x:c r="AI27" s="18" t="n">
        <x:v>36</x:v>
      </x:c>
      <x:c r="AJ27" t="n">
        <x:v>1</x:v>
      </x:c>
    </x:row>
    <x:row r="28">
      <x:c r="A28" s="12" t="str">
        <x:v>C07</x:v>
      </x:c>
      <x:c r="B28" s="12" t="str">
        <x:v>C07_M04</x:v>
      </x:c>
      <x:c r="C28" s="12" t="str">
        <x:v>CONTINUE</x:v>
      </x:c>
      <x:c r="D28" s="18" t="n">
        <x:v>3</x:v>
      </x:c>
      <x:c r="E28" s="12" t="str">
        <x:v>LOCKED</x:v>
      </x:c>
      <x:c r="F28" s="12" t="str">
        <x:v>negative/control example</x:v>
      </x:c>
      <x:c r="G28" s="13" t="b">
        <x:v>1</x:v>
      </x:c>
      <x:c r="H28" s="13" t="b">
        <x:v>0</x:v>
      </x:c>
      <x:c r="I28" s="16"/>
      <x:c r="J28" s="18" t="n">
        <x:v>662</x:v>
      </x:c>
      <x:c r="K28" s="16" t="n">
        <x:v>24.951999999999998</x:v>
      </x:c>
      <x:c r="L28" s="12" t="str">
        <x:v>Pass</x:v>
      </x:c>
      <x:c r="M28" s="12" t="str">
        <x:v>Bayer Leverkusen</x:v>
      </x:c>
      <x:c r="N28" s="12"/>
      <x:c r="O28" s="16" t="n">
        <x:v>61.1</x:v>
      </x:c>
      <x:c r="P28" s="16" t="n">
        <x:v>68.2</x:v>
      </x:c>
      <x:c r="Q28" s="16" t="n">
        <x:v>68.2</x:v>
      </x:c>
      <x:c r="R28" s="16" t="n">
        <x:v>7.100000000000001</x:v>
      </x:c>
      <x:c r="S28" s="16" t="n">
        <x:v>-7.100000000000001</x:v>
      </x:c>
      <x:c r="T28" s="18" t="n">
        <x:v>1</x:v>
      </x:c>
      <x:c r="U28" s="18" t="n">
        <x:v>2</x:v>
      </x:c>
      <x:c r="V28" s="16" t="n">
        <x:v>0</x:v>
      </x:c>
      <x:c r="W28" s="18" t="n">
        <x:v>0</x:v>
      </x:c>
      <x:c r="X28" s="12" t="str">
        <x:v>True</x:v>
      </x:c>
      <x:c r="Y28" s="16" t="n">
        <x:v>4.961999999999875</x:v>
      </x:c>
      <x:c r="Z28" s="18" t="n">
        <x:v>6</x:v>
      </x:c>
      <x:c r="AA28" s="12" t="str">
        <x:v>True</x:v>
      </x:c>
      <x:c r="AB28" s="12" t="str">
        <x:v>[0,30)</x:v>
      </x:c>
      <x:c r="AC28" s="18" t="n">
        <x:v>661</x:v>
      </x:c>
      <x:c r="AD28" s="18" t="n">
        <x:v>664</x:v>
      </x:c>
      <x:c r="AE28" s="12" t="str"/>
      <x:c r="AF28" s="12" t="str">
        <x:v>review sampling criterion: nonpositive run&gt;=2</x:v>
      </x:c>
      <x:c r="AG28" s="18" t="n">
        <x:v>3895060</x:v>
      </x:c>
      <x:c r="AH28" s="18" t="n">
        <x:v>1</x:v>
      </x:c>
      <x:c r="AI28" s="18" t="n">
        <x:v>36</x:v>
      </x:c>
      <x:c r="AJ28" t="n">
        <x:v>1</x:v>
      </x:c>
    </x:row>
    <x:row r="29">
      <x:c r="A29" s="12" t="str">
        <x:v>C07</x:v>
      </x:c>
      <x:c r="B29" s="12" t="str">
        <x:v>C07_M05</x:v>
      </x:c>
      <x:c r="C29" s="12" t="str">
        <x:v>CONTINUE</x:v>
      </x:c>
      <x:c r="D29" s="18" t="n">
        <x:v>3</x:v>
      </x:c>
      <x:c r="E29" s="12" t="str">
        <x:v>LOCKED</x:v>
      </x:c>
      <x:c r="F29" s="12" t="str">
        <x:v>negative/control example</x:v>
      </x:c>
      <x:c r="G29" s="13" t="b">
        <x:v>1</x:v>
      </x:c>
      <x:c r="H29" s="13" t="b">
        <x:v>0</x:v>
      </x:c>
      <x:c r="I29" s="16"/>
      <x:c r="J29" s="18" t="n">
        <x:v>685</x:v>
      </x:c>
      <x:c r="K29" s="16" t="n">
        <x:v>38.24400000000003</x:v>
      </x:c>
      <x:c r="L29" s="12" t="str">
        <x:v>Carry</x:v>
      </x:c>
      <x:c r="M29" s="12" t="str">
        <x:v>Bayer Leverkusen</x:v>
      </x:c>
      <x:c r="N29" s="12"/>
      <x:c r="O29" s="16" t="n">
        <x:v>101.7</x:v>
      </x:c>
      <x:c r="P29" s="16" t="n">
        <x:v>90.8</x:v>
      </x:c>
      <x:c r="Q29" s="16" t="n">
        <x:v>101.7</x:v>
      </x:c>
      <x:c r="R29" s="16" t="n">
        <x:v>0</x:v>
      </x:c>
      <x:c r="S29" s="16" t="n">
        <x:v>-0.5</x:v>
      </x:c>
      <x:c r="T29" s="18"/>
      <x:c r="U29" s="18"/>
      <x:c r="V29" s="16" t="n">
        <x:v>0</x:v>
      </x:c>
      <x:c r="W29" s="18" t="n">
        <x:v>0</x:v>
      </x:c>
      <x:c r="X29" s="12"/>
      <x:c r="Y29" s="16"/>
      <x:c r="Z29" s="18"/>
      <x:c r="AA29" s="12"/>
      <x:c r="AB29" s="12" t="str">
        <x:v>[0,30)</x:v>
      </x:c>
      <x:c r="AC29" s="18" t="n">
        <x:v>683</x:v>
      </x:c>
      <x:c r="AD29" s="18" t="n">
        <x:v>689</x:v>
      </x:c>
      <x:c r="AE29" s="12" t="str"/>
      <x:c r="AF29" s="12" t="str">
        <x:v>review sampling criterion: shortest/longest observed record-peak recovery</x:v>
      </x:c>
      <x:c r="AG29" s="18" t="n">
        <x:v>3895060</x:v>
      </x:c>
      <x:c r="AH29" s="18" t="n">
        <x:v>1</x:v>
      </x:c>
      <x:c r="AI29" s="18" t="n">
        <x:v>36</x:v>
      </x:c>
      <x:c r="AJ29" t="n">
        <x:v>1</x:v>
      </x:c>
    </x:row>
    <x:row r="30">
      <x:c r="A30" s="12" t="str">
        <x:v>C07</x:v>
      </x:c>
      <x:c r="B30" s="12" t="str">
        <x:v>C07_M06</x:v>
      </x:c>
      <x:c r="C30" s="12" t="str">
        <x:v>POSSIBLE_RESET</x:v>
      </x:c>
      <x:c r="D30" s="18" t="n">
        <x:v>2</x:v>
      </x:c>
      <x:c r="E30" s="12" t="str">
        <x:v>LOCKED</x:v>
      </x:c>
      <x:c r="F30" s="12" t="str">
        <x:v>warning evidence</x:v>
      </x:c>
      <x:c r="G30" s="13" t="b">
        <x:v>1</x:v>
      </x:c>
      <x:c r="H30" s="13" t="b">
        <x:v>0</x:v>
      </x:c>
      <x:c r="I30" s="16"/>
      <x:c r="J30" s="18" t="n">
        <x:v>689</x:v>
      </x:c>
      <x:c r="K30" s="16" t="n">
        <x:v>43.36800000000005</x:v>
      </x:c>
      <x:c r="L30" s="12" t="str">
        <x:v>Pass</x:v>
      </x:c>
      <x:c r="M30" s="12" t="str">
        <x:v>Bayer Leverkusen</x:v>
      </x:c>
      <x:c r="N30" s="12"/>
      <x:c r="O30" s="16" t="n">
        <x:v>85.2</x:v>
      </x:c>
      <x:c r="P30" s="16" t="n">
        <x:v>105.3</x:v>
      </x:c>
      <x:c r="Q30" s="16" t="n">
        <x:v>105.3</x:v>
      </x:c>
      <x:c r="R30" s="16" t="n">
        <x:v>20.099999999999994</x:v>
      </x:c>
      <x:c r="S30" s="16" t="n">
        <x:v>-20.099999999999994</x:v>
      </x:c>
      <x:c r="T30" s="18" t="n">
        <x:v>1</x:v>
      </x:c>
      <x:c r="U30" s="18" t="n">
        <x:v>1</x:v>
      </x:c>
      <x:c r="V30" s="16" t="n">
        <x:v>0</x:v>
      </x:c>
      <x:c r="W30" s="18" t="n">
        <x:v>0</x:v>
      </x:c>
      <x:c r="X30" s="12" t="str">
        <x:v>True</x:v>
      </x:c>
      <x:c r="Y30" s="16" t="n">
        <x:v>33.88099999999986</x:v>
      </x:c>
      <x:c r="Z30" s="18" t="n">
        <x:v>40</x:v>
      </x:c>
      <x:c r="AA30" s="12" t="str">
        <x:v>True</x:v>
      </x:c>
      <x:c r="AB30" s="12" t="str">
        <x:v>[0,30)</x:v>
      </x:c>
      <x:c r="AC30" s="18" t="n">
        <x:v>685</x:v>
      </x:c>
      <x:c r="AD30" s="18" t="n">
        <x:v>691</x:v>
      </x:c>
      <x:c r="AE30" s="12" t="str"/>
      <x:c r="AF30" s="12" t="str">
        <x:v>review sampling criterion: peak_retreat&gt;=15; review sampling criterion: single_negative&gt;=15</x:v>
      </x:c>
      <x:c r="AG30" s="18" t="n">
        <x:v>3895060</x:v>
      </x:c>
      <x:c r="AH30" s="18" t="n">
        <x:v>1</x:v>
      </x:c>
      <x:c r="AI30" s="18" t="n">
        <x:v>36</x:v>
      </x:c>
      <x:c r="AJ30" t="n">
        <x:v>1</x:v>
      </x:c>
    </x:row>
    <x:row r="31">
      <x:c r="A31" s="12" t="str">
        <x:v>C07</x:v>
      </x:c>
      <x:c r="B31" s="12" t="str">
        <x:v>C07_M07</x:v>
      </x:c>
      <x:c r="C31" s="12" t="str">
        <x:v>CLEAR_RESET</x:v>
      </x:c>
      <x:c r="D31" s="18" t="n">
        <x:v>3</x:v>
      </x:c>
      <x:c r="E31" s="12" t="str">
        <x:v>LOCKED</x:v>
      </x:c>
      <x:c r="F31" s="12" t="str">
        <x:v>confirmed reset evidence</x:v>
      </x:c>
      <x:c r="G31" s="13" t="b">
        <x:v>1</x:v>
      </x:c>
      <x:c r="H31" s="13" t="b">
        <x:v>0</x:v>
      </x:c>
      <x:c r="I31" s="16"/>
      <x:c r="J31" s="18" t="n">
        <x:v>694</x:v>
      </x:c>
      <x:c r="K31" s="16" t="n">
        <x:v>47.086999999999875</x:v>
      </x:c>
      <x:c r="L31" s="12" t="str">
        <x:v>Carry</x:v>
      </x:c>
      <x:c r="M31" s="12" t="str">
        <x:v>Bayer Leverkusen</x:v>
      </x:c>
      <x:c r="N31" s="12"/>
      <x:c r="O31" s="16" t="n">
        <x:v>81.6</x:v>
      </x:c>
      <x:c r="P31" s="16" t="n">
        <x:v>82.8</x:v>
      </x:c>
      <x:c r="Q31" s="16" t="n">
        <x:v>105.3</x:v>
      </x:c>
      <x:c r="R31" s="16" t="n">
        <x:v>23.700000000000003</x:v>
      </x:c>
      <x:c r="S31" s="16" t="n">
        <x:v>-2</x:v>
      </x:c>
      <x:c r="T31" s="18" t="n">
        <x:v>4</x:v>
      </x:c>
      <x:c r="U31" s="18" t="n">
        <x:v>4</x:v>
      </x:c>
      <x:c r="V31" s="16" t="n">
        <x:v>3.7189999999998236</x:v>
      </x:c>
      <x:c r="W31" s="18" t="n">
        <x:v>5</x:v>
      </x:c>
      <x:c r="X31" s="12" t="str">
        <x:v>True</x:v>
      </x:c>
      <x:c r="Y31" s="16" t="n">
        <x:v>30.162000000000035</x:v>
      </x:c>
      <x:c r="Z31" s="18" t="n">
        <x:v>35</x:v>
      </x:c>
      <x:c r="AA31" s="12" t="str">
        <x:v>True</x:v>
      </x:c>
      <x:c r="AB31" s="12" t="str">
        <x:v>[0,30)</x:v>
      </x:c>
      <x:c r="AC31" s="18" t="n">
        <x:v>692</x:v>
      </x:c>
      <x:c r="AD31" s="18" t="n">
        <x:v>695</x:v>
      </x:c>
      <x:c r="AE31" s="12" t="str"/>
      <x:c r="AF31" s="12" t="str">
        <x:v>review sampling criterion: negative run&gt;=2; review sampling criterion: negative run&gt;=3; review sampling criterion: nonpositive run&gt;=3</x:v>
      </x:c>
      <x:c r="AG31" s="18" t="n">
        <x:v>3895060</x:v>
      </x:c>
      <x:c r="AH31" s="18" t="n">
        <x:v>1</x:v>
      </x:c>
      <x:c r="AI31" s="18" t="n">
        <x:v>36</x:v>
      </x:c>
      <x:c r="AJ31" t="n">
        <x:v>1</x:v>
      </x:c>
    </x:row>
    <x:row r="32">
      <x:c r="A32" s="12" t="str">
        <x:v>C07</x:v>
      </x:c>
      <x:c r="B32" s="12" t="str">
        <x:v>C07_M08</x:v>
      </x:c>
      <x:c r="C32" s="12" t="str">
        <x:v>CLEAR_RESET</x:v>
      </x:c>
      <x:c r="D32" s="18" t="n">
        <x:v>3</x:v>
      </x:c>
      <x:c r="E32" s="12" t="str">
        <x:v>LOCKED</x:v>
      </x:c>
      <x:c r="F32" s="12" t="str">
        <x:v>confirmed reset evidence</x:v>
      </x:c>
      <x:c r="G32" s="13" t="b">
        <x:v>1</x:v>
      </x:c>
      <x:c r="H32" s="13" t="b">
        <x:v>0</x:v>
      </x:c>
      <x:c r="I32" s="16"/>
      <x:c r="J32" s="18" t="n">
        <x:v>699</x:v>
      </x:c>
      <x:c r="K32" s="16" t="n">
        <x:v>50.59800000000007</x:v>
      </x:c>
      <x:c r="L32" s="12" t="str">
        <x:v>Pass</x:v>
      </x:c>
      <x:c r="M32" s="12" t="str">
        <x:v>Bayer Leverkusen</x:v>
      </x:c>
      <x:c r="N32" s="12"/>
      <x:c r="O32" s="16" t="n">
        <x:v>74.1</x:v>
      </x:c>
      <x:c r="P32" s="16" t="n">
        <x:v>84</x:v>
      </x:c>
      <x:c r="Q32" s="16" t="n">
        <x:v>105.3</x:v>
      </x:c>
      <x:c r="R32" s="16" t="n">
        <x:v>31.200000000000003</x:v>
      </x:c>
      <x:c r="S32" s="16" t="n">
        <x:v>-9.900000000000006</x:v>
      </x:c>
      <x:c r="T32" s="18" t="n">
        <x:v>2</x:v>
      </x:c>
      <x:c r="U32" s="18" t="n">
        <x:v>2</x:v>
      </x:c>
      <x:c r="V32" s="16" t="n">
        <x:v>7.230000000000018</x:v>
      </x:c>
      <x:c r="W32" s="18" t="n">
        <x:v>10</x:v>
      </x:c>
      <x:c r="X32" s="12" t="str">
        <x:v>True</x:v>
      </x:c>
      <x:c r="Y32" s="16" t="n">
        <x:v>26.65099999999984</x:v>
      </x:c>
      <x:c r="Z32" s="18" t="n">
        <x:v>30</x:v>
      </x:c>
      <x:c r="AA32" s="12" t="str">
        <x:v>True</x:v>
      </x:c>
      <x:c r="AB32" s="12" t="str">
        <x:v>[0,30)</x:v>
      </x:c>
      <x:c r="AC32" s="18" t="n">
        <x:v>698</x:v>
      </x:c>
      <x:c r="AD32" s="18" t="n">
        <x:v>701</x:v>
      </x:c>
      <x:c r="AE32" s="12" t="str">
        <x:v>Same established reset excursion.</x:v>
      </x:c>
      <x:c r="AF32" s="12" t="str">
        <x:v>review sampling criterion: peak_retreat&gt;=30</x:v>
      </x:c>
      <x:c r="AG32" s="18" t="n">
        <x:v>3895060</x:v>
      </x:c>
      <x:c r="AH32" s="18" t="n">
        <x:v>1</x:v>
      </x:c>
      <x:c r="AI32" s="18" t="n">
        <x:v>36</x:v>
      </x:c>
      <x:c r="AJ32" t="n">
        <x:v>1</x:v>
      </x:c>
    </x:row>
    <x:row r="33">
      <x:c r="A33" s="12" t="str">
        <x:v>C07</x:v>
      </x:c>
      <x:c r="B33" s="12" t="str">
        <x:v>C07_M09</x:v>
      </x:c>
      <x:c r="C33" s="12" t="str">
        <x:v>CONTINUE</x:v>
      </x:c>
      <x:c r="D33" s="18" t="n">
        <x:v>3</x:v>
      </x:c>
      <x:c r="E33" s="12" t="str">
        <x:v>LOCKED</x:v>
      </x:c>
      <x:c r="F33" s="12" t="str">
        <x:v>negative/control example</x:v>
      </x:c>
      <x:c r="G33" s="13" t="b">
        <x:v>1</x:v>
      </x:c>
      <x:c r="H33" s="13" t="b">
        <x:v>0</x:v>
      </x:c>
      <x:c r="I33" s="16"/>
      <x:c r="J33" s="18" t="n">
        <x:v>729</x:v>
      </x:c>
      <x:c r="K33" s="16" t="n">
        <x:v>77.24899999999991</x:v>
      </x:c>
      <x:c r="L33" s="12" t="str">
        <x:v>Pass</x:v>
      </x:c>
      <x:c r="M33" s="12" t="str">
        <x:v>Bayer Leverkusen</x:v>
      </x:c>
      <x:c r="N33" s="12"/>
      <x:c r="O33" s="16" t="n">
        <x:v>113.2</x:v>
      </x:c>
      <x:c r="P33" s="16" t="n">
        <x:v>111.4</x:v>
      </x:c>
      <x:c r="Q33" s="16" t="n">
        <x:v>113.2</x:v>
      </x:c>
      <x:c r="R33" s="16" t="n">
        <x:v>0</x:v>
      </x:c>
      <x:c r="S33" s="16" t="n">
        <x:v>-10.299999999999997</x:v>
      </x:c>
      <x:c r="T33" s="18"/>
      <x:c r="U33" s="18"/>
      <x:c r="V33" s="16" t="n">
        <x:v>0</x:v>
      </x:c>
      <x:c r="W33" s="18" t="n">
        <x:v>0</x:v>
      </x:c>
      <x:c r="X33" s="12"/>
      <x:c r="Y33" s="16"/>
      <x:c r="Z33" s="18"/>
      <x:c r="AA33" s="12"/>
      <x:c r="AB33" s="12" t="str">
        <x:v>[0,30)</x:v>
      </x:c>
      <x:c r="AC33" s="18" t="n">
        <x:v>726</x:v>
      </x:c>
      <x:c r="AD33" s="18" t="n">
        <x:v>731</x:v>
      </x:c>
      <x:c r="AE33" s="12" t="str">
        <x:v>Rebuilt/new episode after reset.</x:v>
      </x:c>
      <x:c r="AF33" s="12" t="str">
        <x:v>review sampling criterion: shortest/longest observed record-peak recovery</x:v>
      </x:c>
      <x:c r="AG33" s="18" t="n">
        <x:v>3895060</x:v>
      </x:c>
      <x:c r="AH33" s="18" t="n">
        <x:v>1</x:v>
      </x:c>
      <x:c r="AI33" s="18" t="n">
        <x:v>36</x:v>
      </x:c>
      <x:c r="AJ33" t="n">
        <x:v>1</x:v>
      </x:c>
    </x:row>
    <x:row r="34">
      <x:c r="A34" s="12" t="str">
        <x:v>C08</x:v>
      </x:c>
      <x:c r="B34" s="12" t="str">
        <x:v>C08_M01</x:v>
      </x:c>
      <x:c r="C34" s="12" t="str">
        <x:v>CONTINUE</x:v>
      </x:c>
      <x:c r="D34" s="18" t="n">
        <x:v>3</x:v>
      </x:c>
      <x:c r="E34" s="12" t="str">
        <x:v>LOCKED</x:v>
      </x:c>
      <x:c r="F34" s="12" t="str">
        <x:v>negative/control example</x:v>
      </x:c>
      <x:c r="G34" s="13" t="b">
        <x:v>1</x:v>
      </x:c>
      <x:c r="H34" s="13" t="b">
        <x:v>0</x:v>
      </x:c>
      <x:c r="I34" s="16"/>
      <x:c r="J34" s="18" t="n">
        <x:v>2751</x:v>
      </x:c>
      <x:c r="K34" s="16" t="n">
        <x:v>6.403999999999996</x:v>
      </x:c>
      <x:c r="L34" s="12" t="str">
        <x:v>Pass</x:v>
      </x:c>
      <x:c r="M34" s="12" t="str">
        <x:v>Bayer Leverkusen</x:v>
      </x:c>
      <x:c r="N34" s="12"/>
      <x:c r="O34" s="16" t="n">
        <x:v>52.8</x:v>
      </x:c>
      <x:c r="P34" s="16" t="n">
        <x:v>44.3</x:v>
      </x:c>
      <x:c r="Q34" s="16" t="n">
        <x:v>52.8</x:v>
      </x:c>
      <x:c r="R34" s="16" t="n">
        <x:v>0</x:v>
      </x:c>
      <x:c r="S34" s="16" t="n">
        <x:v>0</x:v>
      </x:c>
      <x:c r="T34" s="18"/>
      <x:c r="U34" s="18"/>
      <x:c r="V34" s="16" t="n">
        <x:v>0</x:v>
      </x:c>
      <x:c r="W34" s="18" t="n">
        <x:v>0</x:v>
      </x:c>
      <x:c r="X34" s="12"/>
      <x:c r="Y34" s="16"/>
      <x:c r="Z34" s="18"/>
      <x:c r="AA34" s="12"/>
      <x:c r="AB34" s="12" t="str">
        <x:v>[30,60)</x:v>
      </x:c>
      <x:c r="AC34" s="18" t="n">
        <x:v>2750</x:v>
      </x:c>
      <x:c r="AD34" s="18" t="n">
        <x:v>2753</x:v>
      </x:c>
      <x:c r="AE34" s="12" t="str"/>
      <x:c r="AF34" s="12" t="str">
        <x:v>review sampling criterion: first full-event gap&gt;3s</x:v>
      </x:c>
      <x:c r="AG34" s="18" t="n">
        <x:v>3895067</x:v>
      </x:c>
      <x:c r="AH34" s="18" t="n">
        <x:v>2</x:v>
      </x:c>
      <x:c r="AI34" s="18" t="n">
        <x:v>102</x:v>
      </x:c>
      <x:c r="AJ34" t="n">
        <x:v>1</x:v>
      </x:c>
    </x:row>
    <x:row r="35">
      <x:c r="A35" s="12" t="str">
        <x:v>C08</x:v>
      </x:c>
      <x:c r="B35" s="12" t="str">
        <x:v>C08_M02</x:v>
      </x:c>
      <x:c r="C35" s="12" t="str">
        <x:v>CONTINUE</x:v>
      </x:c>
      <x:c r="D35" s="18" t="n">
        <x:v>3</x:v>
      </x:c>
      <x:c r="E35" s="12" t="str">
        <x:v>LOCKED</x:v>
      </x:c>
      <x:c r="F35" s="12" t="str">
        <x:v>negative/control example</x:v>
      </x:c>
      <x:c r="G35" s="13" t="b">
        <x:v>1</x:v>
      </x:c>
      <x:c r="H35" s="13" t="b">
        <x:v>0</x:v>
      </x:c>
      <x:c r="I35" s="16"/>
      <x:c r="J35" s="18" t="n">
        <x:v>2757</x:v>
      </x:c>
      <x:c r="K35" s="16" t="n">
        <x:v>12.663000000000011</x:v>
      </x:c>
      <x:c r="L35" s="12" t="str">
        <x:v>Pass</x:v>
      </x:c>
      <x:c r="M35" s="12" t="str">
        <x:v>Bayer Leverkusen</x:v>
      </x:c>
      <x:c r="N35" s="12"/>
      <x:c r="O35" s="16" t="n">
        <x:v>59.3</x:v>
      </x:c>
      <x:c r="P35" s="16" t="n">
        <x:v>61.2</x:v>
      </x:c>
      <x:c r="Q35" s="16" t="n">
        <x:v>61.2</x:v>
      </x:c>
      <x:c r="R35" s="16" t="n">
        <x:v>1.9000000000000057</x:v>
      </x:c>
      <x:c r="S35" s="16" t="n">
        <x:v>-1.9000000000000057</x:v>
      </x:c>
      <x:c r="T35" s="18" t="n">
        <x:v>1</x:v>
      </x:c>
      <x:c r="U35" s="18" t="n">
        <x:v>1</x:v>
      </x:c>
      <x:c r="V35" s="16" t="n">
        <x:v>0</x:v>
      </x:c>
      <x:c r="W35" s="18" t="n">
        <x:v>0</x:v>
      </x:c>
      <x:c r="X35" s="12" t="str">
        <x:v>True</x:v>
      </x:c>
      <x:c r="Y35" s="16" t="n">
        <x:v>35.75299999999993</x:v>
      </x:c>
      <x:c r="Z35" s="18" t="n">
        <x:v>32</x:v>
      </x:c>
      <x:c r="AA35" s="12" t="str">
        <x:v>True</x:v>
      </x:c>
      <x:c r="AB35" s="12" t="str">
        <x:v>[30,60)</x:v>
      </x:c>
      <x:c r="AC35" s="18" t="n">
        <x:v>2756</x:v>
      </x:c>
      <x:c r="AD35" s="18" t="n">
        <x:v>2759</x:v>
      </x:c>
      <x:c r="AE35" s="12" t="str"/>
      <x:c r="AF35" s="12" t="str">
        <x:v>review sampling criterion: first negative vector (no magnitude minimum)</x:v>
      </x:c>
      <x:c r="AG35" s="18" t="n">
        <x:v>3895067</x:v>
      </x:c>
      <x:c r="AH35" s="18" t="n">
        <x:v>2</x:v>
      </x:c>
      <x:c r="AI35" s="18" t="n">
        <x:v>102</x:v>
      </x:c>
      <x:c r="AJ35" t="n">
        <x:v>1</x:v>
      </x:c>
    </x:row>
    <x:row r="36">
      <x:c r="A36" s="12" t="str">
        <x:v>C08</x:v>
      </x:c>
      <x:c r="B36" s="12" t="str">
        <x:v>C08_M03</x:v>
      </x:c>
      <x:c r="C36" s="12" t="str">
        <x:v>CONTINUE</x:v>
      </x:c>
      <x:c r="D36" s="18" t="n">
        <x:v>3</x:v>
      </x:c>
      <x:c r="E36" s="12" t="str">
        <x:v>LOCKED</x:v>
      </x:c>
      <x:c r="F36" s="12" t="str">
        <x:v>negative/control example</x:v>
      </x:c>
      <x:c r="G36" s="13" t="b">
        <x:v>1</x:v>
      </x:c>
      <x:c r="H36" s="13" t="b">
        <x:v>0</x:v>
      </x:c>
      <x:c r="I36" s="16"/>
      <x:c r="J36" s="18" t="n">
        <x:v>2760</x:v>
      </x:c>
      <x:c r="K36" s="16" t="n">
        <x:v>13.112999999999829</x:v>
      </x:c>
      <x:c r="L36" s="12" t="str">
        <x:v>Pass</x:v>
      </x:c>
      <x:c r="M36" s="12" t="str">
        <x:v>Bayer Leverkusen</x:v>
      </x:c>
      <x:c r="N36" s="12"/>
      <x:c r="O36" s="16" t="n">
        <x:v>56</x:v>
      </x:c>
      <x:c r="P36" s="16" t="n">
        <x:v>59.3</x:v>
      </x:c>
      <x:c r="Q36" s="16" t="n">
        <x:v>61.2</x:v>
      </x:c>
      <x:c r="R36" s="16" t="n">
        <x:v>5.200000000000003</x:v>
      </x:c>
      <x:c r="S36" s="16" t="n">
        <x:v>-3.299999999999997</x:v>
      </x:c>
      <x:c r="T36" s="18" t="n">
        <x:v>1</x:v>
      </x:c>
      <x:c r="U36" s="18" t="n">
        <x:v>3</x:v>
      </x:c>
      <x:c r="V36" s="16" t="n">
        <x:v>0.4499999999998181</x:v>
      </x:c>
      <x:c r="W36" s="18" t="n">
        <x:v>3</x:v>
      </x:c>
      <x:c r="X36" s="12" t="str">
        <x:v>True</x:v>
      </x:c>
      <x:c r="Y36" s="16" t="n">
        <x:v>35.30300000000011</x:v>
      </x:c>
      <x:c r="Z36" s="18" t="n">
        <x:v>29</x:v>
      </x:c>
      <x:c r="AA36" s="12" t="str">
        <x:v>True</x:v>
      </x:c>
      <x:c r="AB36" s="12" t="str">
        <x:v>[30,60)</x:v>
      </x:c>
      <x:c r="AC36" s="18" t="n">
        <x:v>2759</x:v>
      </x:c>
      <x:c r="AD36" s="18" t="n">
        <x:v>2762</x:v>
      </x:c>
      <x:c r="AE36" s="12" t="str"/>
      <x:c r="AF36" s="12" t="str">
        <x:v>review sampling criterion: peak_retreat&gt;=5</x:v>
      </x:c>
      <x:c r="AG36" s="18" t="n">
        <x:v>3895067</x:v>
      </x:c>
      <x:c r="AH36" s="18" t="n">
        <x:v>2</x:v>
      </x:c>
      <x:c r="AI36" s="18" t="n">
        <x:v>102</x:v>
      </x:c>
      <x:c r="AJ36" t="n">
        <x:v>1</x:v>
      </x:c>
    </x:row>
    <x:row r="37">
      <x:c r="A37" s="12" t="str">
        <x:v>C08</x:v>
      </x:c>
      <x:c r="B37" s="12" t="str">
        <x:v>C08_M04</x:v>
      </x:c>
      <x:c r="C37" s="12" t="str">
        <x:v>CONTINUE</x:v>
      </x:c>
      <x:c r="D37" s="18" t="n">
        <x:v>3</x:v>
      </x:c>
      <x:c r="E37" s="12" t="str">
        <x:v>LOCKED</x:v>
      </x:c>
      <x:c r="F37" s="12" t="str">
        <x:v>negative/control example</x:v>
      </x:c>
      <x:c r="G37" s="13" t="b">
        <x:v>1</x:v>
      </x:c>
      <x:c r="H37" s="13" t="b">
        <x:v>0</x:v>
      </x:c>
      <x:c r="I37" s="16"/>
      <x:c r="J37" s="18" t="n">
        <x:v>2762</x:v>
      </x:c>
      <x:c r="K37" s="16" t="n">
        <x:v>14.028999999999996</x:v>
      </x:c>
      <x:c r="L37" s="12" t="str">
        <x:v>Carry</x:v>
      </x:c>
      <x:c r="M37" s="12" t="str">
        <x:v>Bayer Leverkusen</x:v>
      </x:c>
      <x:c r="N37" s="12"/>
      <x:c r="O37" s="16" t="n">
        <x:v>55.6</x:v>
      </x:c>
      <x:c r="P37" s="16" t="n">
        <x:v>56</x:v>
      </x:c>
      <x:c r="Q37" s="16" t="n">
        <x:v>61.2</x:v>
      </x:c>
      <x:c r="R37" s="16" t="n">
        <x:v>5.600000000000001</x:v>
      </x:c>
      <x:c r="S37" s="16" t="n">
        <x:v>-3.299999999999997</x:v>
      </x:c>
      <x:c r="T37" s="18" t="n">
        <x:v>2</x:v>
      </x:c>
      <x:c r="U37" s="18" t="n">
        <x:v>4</x:v>
      </x:c>
      <x:c r="V37" s="16" t="n">
        <x:v>1.3659999999999854</x:v>
      </x:c>
      <x:c r="W37" s="18" t="n">
        <x:v>5</x:v>
      </x:c>
      <x:c r="X37" s="12" t="str">
        <x:v>True</x:v>
      </x:c>
      <x:c r="Y37" s="16" t="n">
        <x:v>34.386999999999944</x:v>
      </x:c>
      <x:c r="Z37" s="18" t="n">
        <x:v>27</x:v>
      </x:c>
      <x:c r="AA37" s="12" t="str">
        <x:v>True</x:v>
      </x:c>
      <x:c r="AB37" s="12" t="str">
        <x:v>[30,60)</x:v>
      </x:c>
      <x:c r="AC37" s="18" t="n">
        <x:v>2760</x:v>
      </x:c>
      <x:c r="AD37" s="18" t="n">
        <x:v>2763</x:v>
      </x:c>
      <x:c r="AE37" s="12" t="str"/>
      <x:c r="AF37" s="12" t="str">
        <x:v>review sampling criterion: negative run&gt;=2; review sampling criterion: nonpositive run&gt;=2; review sampling criterion: nonpositive run&gt;=3</x:v>
      </x:c>
      <x:c r="AG37" s="18" t="n">
        <x:v>3895067</x:v>
      </x:c>
      <x:c r="AH37" s="18" t="n">
        <x:v>2</x:v>
      </x:c>
      <x:c r="AI37" s="18" t="n">
        <x:v>102</x:v>
      </x:c>
      <x:c r="AJ37" t="n">
        <x:v>1</x:v>
      </x:c>
    </x:row>
    <x:row r="38">
      <x:c r="A38" s="12" t="str">
        <x:v>C08</x:v>
      </x:c>
      <x:c r="B38" s="12" t="str">
        <x:v>C08_M05</x:v>
      </x:c>
      <x:c r="C38" s="12" t="str">
        <x:v>CONTINUE</x:v>
      </x:c>
      <x:c r="D38" s="18" t="n">
        <x:v>3</x:v>
      </x:c>
      <x:c r="E38" s="12" t="str">
        <x:v>LOCKED</x:v>
      </x:c>
      <x:c r="F38" s="12" t="str">
        <x:v>negative/control example</x:v>
      </x:c>
      <x:c r="G38" s="13" t="b">
        <x:v>1</x:v>
      </x:c>
      <x:c r="H38" s="13" t="b">
        <x:v>0</x:v>
      </x:c>
      <x:c r="I38" s="16"/>
      <x:c r="J38" s="18" t="n">
        <x:v>2763</x:v>
      </x:c>
      <x:c r="K38" s="16" t="n">
        <x:v>17.510999999999967</x:v>
      </x:c>
      <x:c r="L38" s="12" t="str">
        <x:v>Pass</x:v>
      </x:c>
      <x:c r="M38" s="12" t="str">
        <x:v>Bayer Leverkusen</x:v>
      </x:c>
      <x:c r="N38" s="12"/>
      <x:c r="O38" s="16" t="n">
        <x:v>57.1</x:v>
      </x:c>
      <x:c r="P38" s="16" t="n">
        <x:v>55.6</x:v>
      </x:c>
      <x:c r="Q38" s="16" t="n">
        <x:v>61.2</x:v>
      </x:c>
      <x:c r="R38" s="16" t="n">
        <x:v>4.100000000000001</x:v>
      </x:c>
      <x:c r="S38" s="16" t="n">
        <x:v>-3.299999999999997</x:v>
      </x:c>
      <x:c r="T38" s="18"/>
      <x:c r="U38" s="18"/>
      <x:c r="V38" s="16" t="n">
        <x:v>4.847999999999956</x:v>
      </x:c>
      <x:c r="W38" s="18" t="n">
        <x:v>6</x:v>
      </x:c>
      <x:c r="X38" s="12" t="str">
        <x:v>True</x:v>
      </x:c>
      <x:c r="Y38" s="16" t="n">
        <x:v>30.904999999999973</x:v>
      </x:c>
      <x:c r="Z38" s="18" t="n">
        <x:v>26</x:v>
      </x:c>
      <x:c r="AA38" s="12" t="str">
        <x:v>True</x:v>
      </x:c>
      <x:c r="AB38" s="12" t="str">
        <x:v>[30,60)</x:v>
      </x:c>
      <x:c r="AC38" s="18" t="n">
        <x:v>2762</x:v>
      </x:c>
      <x:c r="AD38" s="18" t="n">
        <x:v>2765</x:v>
      </x:c>
      <x:c r="AE38" s="12" t="str"/>
      <x:c r="AF38" s="12" t="str">
        <x:v>review sampling criterion: first negative-to-positive action turn</x:v>
      </x:c>
      <x:c r="AG38" s="18" t="n">
        <x:v>3895067</x:v>
      </x:c>
      <x:c r="AH38" s="18" t="n">
        <x:v>2</x:v>
      </x:c>
      <x:c r="AI38" s="18" t="n">
        <x:v>102</x:v>
      </x:c>
      <x:c r="AJ38" t="n">
        <x:v>1</x:v>
      </x:c>
    </x:row>
    <x:row r="39">
      <x:c r="A39" s="12" t="str">
        <x:v>C08</x:v>
      </x:c>
      <x:c r="B39" s="12" t="str">
        <x:v>C08_M06</x:v>
      </x:c>
      <x:c r="C39" s="12" t="str">
        <x:v>POSSIBLE_RESET</x:v>
      </x:c>
      <x:c r="D39" s="18" t="n">
        <x:v>2</x:v>
      </x:c>
      <x:c r="E39" s="12" t="str">
        <x:v>LOCKED</x:v>
      </x:c>
      <x:c r="F39" s="12" t="str">
        <x:v>warning evidence</x:v>
      </x:c>
      <x:c r="G39" s="13" t="b">
        <x:v>1</x:v>
      </x:c>
      <x:c r="H39" s="13" t="b">
        <x:v>0</x:v>
      </x:c>
      <x:c r="I39" s="16"/>
      <x:c r="J39" s="18" t="n">
        <x:v>2766</x:v>
      </x:c>
      <x:c r="K39" s="16" t="n">
        <x:v>21.554999999999836</x:v>
      </x:c>
      <x:c r="L39" s="12" t="str">
        <x:v>Pass</x:v>
      </x:c>
      <x:c r="M39" s="12" t="str">
        <x:v>Bayer Leverkusen</x:v>
      </x:c>
      <x:c r="N39" s="12"/>
      <x:c r="O39" s="16" t="n">
        <x:v>48.2</x:v>
      </x:c>
      <x:c r="P39" s="16" t="n">
        <x:v>55</x:v>
      </x:c>
      <x:c r="Q39" s="16" t="n">
        <x:v>61.2</x:v>
      </x:c>
      <x:c r="R39" s="16" t="n">
        <x:v>13</x:v>
      </x:c>
      <x:c r="S39" s="16" t="n">
        <x:v>-6.799999999999997</x:v>
      </x:c>
      <x:c r="T39" s="18" t="n">
        <x:v>2</x:v>
      </x:c>
      <x:c r="U39" s="18" t="n">
        <x:v>2</x:v>
      </x:c>
      <x:c r="V39" s="16" t="n">
        <x:v>8.891999999999825</x:v>
      </x:c>
      <x:c r="W39" s="18" t="n">
        <x:v>9</x:v>
      </x:c>
      <x:c r="X39" s="12" t="str">
        <x:v>True</x:v>
      </x:c>
      <x:c r="Y39" s="16" t="n">
        <x:v>26.861000000000104</x:v>
      </x:c>
      <x:c r="Z39" s="18" t="n">
        <x:v>23</x:v>
      </x:c>
      <x:c r="AA39" s="12" t="str">
        <x:v>True</x:v>
      </x:c>
      <x:c r="AB39" s="12" t="str">
        <x:v>[30,60)</x:v>
      </x:c>
      <x:c r="AC39" s="18" t="n">
        <x:v>2765</x:v>
      </x:c>
      <x:c r="AD39" s="18" t="n">
        <x:v>2768</x:v>
      </x:c>
      <x:c r="AE39" s="12" t="str"/>
      <x:c r="AF39" s="12" t="str">
        <x:v>review sampling criterion: single_negative&gt;=5</x:v>
      </x:c>
      <x:c r="AG39" s="18" t="n">
        <x:v>3895067</x:v>
      </x:c>
      <x:c r="AH39" s="18" t="n">
        <x:v>2</x:v>
      </x:c>
      <x:c r="AI39" s="18" t="n">
        <x:v>102</x:v>
      </x:c>
      <x:c r="AJ39" t="n">
        <x:v>1</x:v>
      </x:c>
    </x:row>
    <x:row r="40">
      <x:c r="A40" s="12" t="str">
        <x:v>C08</x:v>
      </x:c>
      <x:c r="B40" s="12" t="str">
        <x:v>C08_M07</x:v>
      </x:c>
      <x:c r="C40" s="12" t="str">
        <x:v>CLEAR_RESET</x:v>
      </x:c>
      <x:c r="D40" s="18" t="n">
        <x:v>3</x:v>
      </x:c>
      <x:c r="E40" s="12" t="str">
        <x:v>LOCKED</x:v>
      </x:c>
      <x:c r="F40" s="12" t="str">
        <x:v>confirmed reset evidence</x:v>
      </x:c>
      <x:c r="G40" s="13" t="b">
        <x:v>1</x:v>
      </x:c>
      <x:c r="H40" s="13" t="b">
        <x:v>0</x:v>
      </x:c>
      <x:c r="I40" s="16"/>
      <x:c r="J40" s="18" t="n">
        <x:v>2768</x:v>
      </x:c>
      <x:c r="K40" s="16" t="n">
        <x:v>23.347999999999956</x:v>
      </x:c>
      <x:c r="L40" s="12" t="str">
        <x:v>Carry</x:v>
      </x:c>
      <x:c r="M40" s="12" t="str">
        <x:v>Bayer Leverkusen</x:v>
      </x:c>
      <x:c r="N40" s="12"/>
      <x:c r="O40" s="16" t="n">
        <x:v>41.5</x:v>
      </x:c>
      <x:c r="P40" s="16" t="n">
        <x:v>48.2</x:v>
      </x:c>
      <x:c r="Q40" s="16" t="n">
        <x:v>61.2</x:v>
      </x:c>
      <x:c r="R40" s="16" t="n">
        <x:v>19.700000000000003</x:v>
      </x:c>
      <x:c r="S40" s="16" t="n">
        <x:v>-6.799999999999997</x:v>
      </x:c>
      <x:c r="T40" s="18" t="n">
        <x:v>3</x:v>
      </x:c>
      <x:c r="U40" s="18" t="n">
        <x:v>3</x:v>
      </x:c>
      <x:c r="V40" s="16" t="n">
        <x:v>10.684999999999945</x:v>
      </x:c>
      <x:c r="W40" s="18" t="n">
        <x:v>11</x:v>
      </x:c>
      <x:c r="X40" s="12" t="str">
        <x:v>True</x:v>
      </x:c>
      <x:c r="Y40" s="16" t="n">
        <x:v>25.067999999999984</x:v>
      </x:c>
      <x:c r="Z40" s="18" t="n">
        <x:v>21</x:v>
      </x:c>
      <x:c r="AA40" s="12" t="str">
        <x:v>True</x:v>
      </x:c>
      <x:c r="AB40" s="12" t="str">
        <x:v>[30,60)</x:v>
      </x:c>
      <x:c r="AC40" s="18" t="n">
        <x:v>2766</x:v>
      </x:c>
      <x:c r="AD40" s="18" t="n">
        <x:v>2769</x:v>
      </x:c>
      <x:c r="AE40" s="12" t="str"/>
      <x:c r="AF40" s="12" t="str">
        <x:v>review sampling criterion: peak_retreat&gt;=15</x:v>
      </x:c>
      <x:c r="AG40" s="18" t="n">
        <x:v>3895067</x:v>
      </x:c>
      <x:c r="AH40" s="18" t="n">
        <x:v>2</x:v>
      </x:c>
      <x:c r="AI40" s="18" t="n">
        <x:v>102</x:v>
      </x:c>
      <x:c r="AJ40" t="n">
        <x:v>1</x:v>
      </x:c>
    </x:row>
    <x:row r="41">
      <x:c r="A41" s="12" t="str">
        <x:v>C08</x:v>
      </x:c>
      <x:c r="B41" s="12" t="str">
        <x:v>C08_M08</x:v>
      </x:c>
      <x:c r="C41" s="12" t="str">
        <x:v>CLEAR_RESET</x:v>
      </x:c>
      <x:c r="D41" s="18" t="n">
        <x:v>3</x:v>
      </x:c>
      <x:c r="E41" s="12" t="str">
        <x:v>LOCKED</x:v>
      </x:c>
      <x:c r="F41" s="12" t="str">
        <x:v>confirmed reset evidence</x:v>
      </x:c>
      <x:c r="G41" s="13" t="b">
        <x:v>1</x:v>
      </x:c>
      <x:c r="H41" s="13" t="b">
        <x:v>0</x:v>
      </x:c>
      <x:c r="I41" s="16"/>
      <x:c r="J41" s="18" t="n">
        <x:v>2772</x:v>
      </x:c>
      <x:c r="K41" s="16" t="n">
        <x:v>27.565999999999804</x:v>
      </x:c>
      <x:c r="L41" s="12" t="str">
        <x:v>Carry</x:v>
      </x:c>
      <x:c r="M41" s="12" t="str">
        <x:v>Bayer Leverkusen</x:v>
      </x:c>
      <x:c r="N41" s="12"/>
      <x:c r="O41" s="16" t="n">
        <x:v>15.8</x:v>
      </x:c>
      <x:c r="P41" s="16" t="n">
        <x:v>39.6</x:v>
      </x:c>
      <x:c r="Q41" s="16" t="n">
        <x:v>61.2</x:v>
      </x:c>
      <x:c r="R41" s="16" t="n">
        <x:v>45.400000000000006</x:v>
      </x:c>
      <x:c r="S41" s="16" t="n">
        <x:v>-23.8</x:v>
      </x:c>
      <x:c r="T41" s="18" t="n">
        <x:v>5</x:v>
      </x:c>
      <x:c r="U41" s="18" t="n">
        <x:v>5</x:v>
      </x:c>
      <x:c r="V41" s="16" t="n">
        <x:v>14.902999999999793</x:v>
      </x:c>
      <x:c r="W41" s="18" t="n">
        <x:v>15</x:v>
      </x:c>
      <x:c r="X41" s="12" t="str">
        <x:v>True</x:v>
      </x:c>
      <x:c r="Y41" s="16" t="n">
        <x:v>20.850000000000136</x:v>
      </x:c>
      <x:c r="Z41" s="18" t="n">
        <x:v>17</x:v>
      </x:c>
      <x:c r="AA41" s="12" t="str">
        <x:v>True</x:v>
      </x:c>
      <x:c r="AB41" s="12" t="str">
        <x:v>[30,60)</x:v>
      </x:c>
      <x:c r="AC41" s="18" t="n">
        <x:v>2770</x:v>
      </x:c>
      <x:c r="AD41" s="18" t="n">
        <x:v>2773</x:v>
      </x:c>
      <x:c r="AE41" s="12" t="str">
        <x:v>Same established reset excursion.</x:v>
      </x:c>
      <x:c r="AF41" s="12" t="str">
        <x:v>review sampling criterion: negative run&gt;=3; review sampling criterion: peak_retreat&gt;=30; review sampling criterion: peak_retreat&gt;=40; review sampling criterion: single_negative&gt;=15</x:v>
      </x:c>
      <x:c r="AG41" s="18" t="n">
        <x:v>3895067</x:v>
      </x:c>
      <x:c r="AH41" s="18" t="n">
        <x:v>2</x:v>
      </x:c>
      <x:c r="AI41" s="18" t="n">
        <x:v>102</x:v>
      </x:c>
      <x:c r="AJ41" t="n">
        <x:v>1</x:v>
      </x:c>
    </x:row>
    <x:row r="42">
      <x:c r="A42" s="12" t="str">
        <x:v>C08</x:v>
      </x:c>
      <x:c r="B42" s="12" t="str">
        <x:v>C08_M09</x:v>
      </x:c>
      <x:c r="C42" s="12" t="str">
        <x:v>CONTINUE</x:v>
      </x:c>
      <x:c r="D42" s="18" t="n">
        <x:v>3</x:v>
      </x:c>
      <x:c r="E42" s="12" t="str">
        <x:v>LOCKED</x:v>
      </x:c>
      <x:c r="F42" s="12" t="str">
        <x:v>negative/control example</x:v>
      </x:c>
      <x:c r="G42" s="13" t="b">
        <x:v>1</x:v>
      </x:c>
      <x:c r="H42" s="13" t="b">
        <x:v>0</x:v>
      </x:c>
      <x:c r="I42" s="16"/>
      <x:c r="J42" s="18" t="n">
        <x:v>2789</x:v>
      </x:c>
      <x:c r="K42" s="16" t="n">
        <x:v>48.41599999999994</x:v>
      </x:c>
      <x:c r="L42" s="12" t="str">
        <x:v>Pass</x:v>
      </x:c>
      <x:c r="M42" s="12" t="str">
        <x:v>Bayer Leverkusen</x:v>
      </x:c>
      <x:c r="N42" s="12"/>
      <x:c r="O42" s="16" t="n">
        <x:v>62.1</x:v>
      </x:c>
      <x:c r="P42" s="16" t="n">
        <x:v>46.8</x:v>
      </x:c>
      <x:c r="Q42" s="16" t="n">
        <x:v>62.1</x:v>
      </x:c>
      <x:c r="R42" s="16" t="n">
        <x:v>0</x:v>
      </x:c>
      <x:c r="S42" s="16" t="n">
        <x:v>-9.099999999999994</x:v>
      </x:c>
      <x:c r="T42" s="18"/>
      <x:c r="U42" s="18"/>
      <x:c r="V42" s="16" t="n">
        <x:v>0</x:v>
      </x:c>
      <x:c r="W42" s="18" t="n">
        <x:v>0</x:v>
      </x:c>
      <x:c r="X42" s="12"/>
      <x:c r="Y42" s="16"/>
      <x:c r="Z42" s="18"/>
      <x:c r="AA42" s="12"/>
      <x:c r="AB42" s="12" t="str">
        <x:v>[30,60)</x:v>
      </x:c>
      <x:c r="AC42" s="18" t="n">
        <x:v>2788</x:v>
      </x:c>
      <x:c r="AD42" s="18" t="n">
        <x:v>2791</x:v>
      </x:c>
      <x:c r="AE42" s="12" t="str">
        <x:v>Rebuilt episode.</x:v>
      </x:c>
      <x:c r="AF42" s="12" t="str">
        <x:v>review sampling criterion: shortest/longest observed record-peak recovery</x:v>
      </x:c>
      <x:c r="AG42" s="18" t="n">
        <x:v>3895067</x:v>
      </x:c>
      <x:c r="AH42" s="18" t="n">
        <x:v>2</x:v>
      </x:c>
      <x:c r="AI42" s="18" t="n">
        <x:v>102</x:v>
      </x:c>
      <x:c r="AJ42" t="n">
        <x:v>1</x:v>
      </x:c>
    </x:row>
    <x:row r="43">
      <x:c r="A43" s="12" t="str">
        <x:v>C08</x:v>
      </x:c>
      <x:c r="B43" s="12" t="str">
        <x:v>C08_M10</x:v>
      </x:c>
      <x:c r="C43" s="12" t="str">
        <x:v>CONTINUE</x:v>
      </x:c>
      <x:c r="D43" s="18" t="n">
        <x:v>3</x:v>
      </x:c>
      <x:c r="E43" s="12" t="str">
        <x:v>LOCKED</x:v>
      </x:c>
      <x:c r="F43" s="12" t="str">
        <x:v>negative/control example</x:v>
      </x:c>
      <x:c r="G43" s="13" t="b">
        <x:v>1</x:v>
      </x:c>
      <x:c r="H43" s="13" t="b">
        <x:v>0</x:v>
      </x:c>
      <x:c r="I43" s="16"/>
      <x:c r="J43" s="18" t="n">
        <x:v>2794</x:v>
      </x:c>
      <x:c r="K43" s="16" t="n">
        <x:v>51.4699999999998</x:v>
      </x:c>
      <x:c r="L43" s="12" t="str">
        <x:v>Carry</x:v>
      </x:c>
      <x:c r="M43" s="12" t="str">
        <x:v>Bayer Leverkusen</x:v>
      </x:c>
      <x:c r="N43" s="12"/>
      <x:c r="O43" s="16" t="n">
        <x:v>70.6</x:v>
      </x:c>
      <x:c r="P43" s="16" t="n">
        <x:v>58</x:v>
      </x:c>
      <x:c r="Q43" s="16" t="n">
        <x:v>70.6</x:v>
      </x:c>
      <x:c r="R43" s="16" t="n">
        <x:v>0</x:v>
      </x:c>
      <x:c r="S43" s="16" t="n">
        <x:v>-3.3000000000000043</x:v>
      </x:c>
      <x:c r="T43" s="18"/>
      <x:c r="U43" s="18"/>
      <x:c r="V43" s="16" t="n">
        <x:v>0</x:v>
      </x:c>
      <x:c r="W43" s="18" t="n">
        <x:v>0</x:v>
      </x:c>
      <x:c r="X43" s="12"/>
      <x:c r="Y43" s="16"/>
      <x:c r="Z43" s="18"/>
      <x:c r="AA43" s="12"/>
      <x:c r="AB43" s="12" t="str">
        <x:v>[30,60)</x:v>
      </x:c>
      <x:c r="AC43" s="18" t="n">
        <x:v>2792</x:v>
      </x:c>
      <x:c r="AD43" s="18" t="n">
        <x:v>2795</x:v>
      </x:c>
      <x:c r="AE43" s="12" t="str"/>
      <x:c r="AF43" s="12" t="str">
        <x:v>review sampling criterion: shortest/longest observed record-peak recovery</x:v>
      </x:c>
      <x:c r="AG43" s="18" t="n">
        <x:v>3895067</x:v>
      </x:c>
      <x:c r="AH43" s="18" t="n">
        <x:v>2</x:v>
      </x:c>
      <x:c r="AI43" s="18" t="n">
        <x:v>102</x:v>
      </x:c>
      <x:c r="AJ43" t="n">
        <x:v>1</x:v>
      </x:c>
    </x:row>
    <x:row r="44">
      <x:c r="A44" s="12" t="str">
        <x:v>C09</x:v>
      </x:c>
      <x:c r="B44" s="12" t="str">
        <x:v>C09_M02</x:v>
      </x:c>
      <x:c r="C44" s="12" t="str">
        <x:v>CLEAR_RESET</x:v>
      </x:c>
      <x:c r="D44" s="18" t="n">
        <x:v>3</x:v>
      </x:c>
      <x:c r="E44" s="12" t="str">
        <x:v>LOCKED</x:v>
      </x:c>
      <x:c r="F44" s="12" t="str">
        <x:v>confirmed reset evidence</x:v>
      </x:c>
      <x:c r="G44" s="13" t="b">
        <x:v>1</x:v>
      </x:c>
      <x:c r="H44" s="13" t="b">
        <x:v>0</x:v>
      </x:c>
      <x:c r="I44" s="16"/>
      <x:c r="J44" s="18" t="n">
        <x:v>576</x:v>
      </x:c>
      <x:c r="K44" s="16" t="n">
        <x:v>5.322000000000003</x:v>
      </x:c>
      <x:c r="L44" s="12" t="str">
        <x:v>Pass</x:v>
      </x:c>
      <x:c r="M44" s="12" t="str">
        <x:v>Bayer Leverkusen</x:v>
      </x:c>
      <x:c r="N44" s="12"/>
      <x:c r="O44" s="16" t="n">
        <x:v>31.3</x:v>
      </x:c>
      <x:c r="P44" s="16" t="n">
        <x:v>71.7</x:v>
      </x:c>
      <x:c r="Q44" s="16" t="n">
        <x:v>120</x:v>
      </x:c>
      <x:c r="R44" s="16" t="n">
        <x:v>88.7</x:v>
      </x:c>
      <x:c r="S44" s="16" t="n">
        <x:v>-40.400000000000006</x:v>
      </x:c>
      <x:c r="T44" s="18" t="n">
        <x:v>2</x:v>
      </x:c>
      <x:c r="U44" s="18" t="n">
        <x:v>2</x:v>
      </x:c>
      <x:c r="V44" s="16" t="n">
        <x:v>5.322000000000003</x:v>
      </x:c>
      <x:c r="W44" s="18" t="n">
        <x:v>2</x:v>
      </x:c>
      <x:c r="X44" s="12" t="str">
        <x:v>False</x:v>
      </x:c>
      <x:c r="Y44" s="16"/>
      <x:c r="Z44" s="18"/>
      <x:c r="AA44" s="12" t="str">
        <x:v>False</x:v>
      </x:c>
      <x:c r="AB44" s="12" t="str">
        <x:v>120 or above</x:v>
      </x:c>
      <x:c r="AC44" s="18" t="n">
        <x:v>574</x:v>
      </x:c>
      <x:c r="AD44" s="18" t="n">
        <x:v>578</x:v>
      </x:c>
      <x:c r="AE44" s="12" t="str">
        <x:v>Corner attack cleared; Leverkusen recycles deep.</x:v>
      </x:c>
      <x:c r="AF44" s="12" t="str">
        <x:v>review sampling criterion: first full-event gap&gt;3s; review sampling criterion: negative run&gt;=2; review sampling criterion: peak_retreat&gt;=15; review sampling criterion: peak_retreat&gt;=30; review sampling criterion: peak_retreat&gt;=40; review sampling criterion: peak_retreat&gt;=5; review sampling criterion: single_negative&gt;=15; review sampling criterion: single_negative&gt;=30; review sampling criterion: single_negative&gt;=40; review sampling criterion: single_negative&gt;=5</x:v>
      </x:c>
      <x:c r="AG44" s="18" t="n">
        <x:v>3895153</x:v>
      </x:c>
      <x:c r="AH44" s="18" t="n">
        <x:v>1</x:v>
      </x:c>
      <x:c r="AI44" s="18" t="n">
        <x:v>21</x:v>
      </x:c>
      <x:c r="AJ44" t="n">
        <x:v>1</x:v>
      </x:c>
    </x:row>
    <x:row r="45">
      <x:c r="A45" s="12" t="str">
        <x:v>C09</x:v>
      </x:c>
      <x:c r="B45" s="12" t="str">
        <x:v>C09_M03</x:v>
      </x:c>
      <x:c r="C45" s="12" t="str">
        <x:v>CONTINUE</x:v>
      </x:c>
      <x:c r="D45" s="18" t="n">
        <x:v>3</x:v>
      </x:c>
      <x:c r="E45" s="12" t="str">
        <x:v>LOCKED</x:v>
      </x:c>
      <x:c r="F45" s="12" t="str">
        <x:v>negative/control example</x:v>
      </x:c>
      <x:c r="G45" s="13" t="b">
        <x:v>1</x:v>
      </x:c>
      <x:c r="H45" s="13" t="b">
        <x:v>0</x:v>
      </x:c>
      <x:c r="I45" s="16"/>
      <x:c r="J45" s="18" t="n">
        <x:v>578</x:v>
      </x:c>
      <x:c r="K45" s="16" t="n">
        <x:v>8.982000000000085</x:v>
      </x:c>
      <x:c r="L45" s="12" t="str">
        <x:v>Carry</x:v>
      </x:c>
      <x:c r="M45" s="12" t="str">
        <x:v>Bayer Leverkusen</x:v>
      </x:c>
      <x:c r="N45" s="12"/>
      <x:c r="O45" s="16" t="n">
        <x:v>31.3</x:v>
      </x:c>
      <x:c r="P45" s="16" t="n">
        <x:v>31.3</x:v>
      </x:c>
      <x:c r="Q45" s="16" t="n">
        <x:v>120</x:v>
      </x:c>
      <x:c r="R45" s="16" t="n">
        <x:v>88.7</x:v>
      </x:c>
      <x:c r="S45" s="16" t="n">
        <x:v>-40.400000000000006</x:v>
      </x:c>
      <x:c r="T45" s="18"/>
      <x:c r="U45" s="18" t="n">
        <x:v>3</x:v>
      </x:c>
      <x:c r="V45" s="16" t="n">
        <x:v>8.982000000000085</x:v>
      </x:c>
      <x:c r="W45" s="18" t="n">
        <x:v>4</x:v>
      </x:c>
      <x:c r="X45" s="12" t="str">
        <x:v>False</x:v>
      </x:c>
      <x:c r="Y45" s="16"/>
      <x:c r="Z45" s="18"/>
      <x:c r="AA45" s="12" t="str">
        <x:v>False</x:v>
      </x:c>
      <x:c r="AB45" s="12" t="str">
        <x:v>120 or above</x:v>
      </x:c>
      <x:c r="AC45" s="18" t="n">
        <x:v>576</x:v>
      </x:c>
      <x:c r="AD45" s="18" t="n">
        <x:v>579</x:v>
      </x:c>
      <x:c r="AE45" s="12" t="str">
        <x:v>New buildup after reset.</x:v>
      </x:c>
      <x:c r="AF45" s="12" t="str">
        <x:v>review sampling criterion: nonpositive run&gt;=2; review sampling criterion: nonpositive run&gt;=3</x:v>
      </x:c>
      <x:c r="AG45" s="18" t="n">
        <x:v>3895153</x:v>
      </x:c>
      <x:c r="AH45" s="18" t="n">
        <x:v>1</x:v>
      </x:c>
      <x:c r="AI45" s="18" t="n">
        <x:v>21</x:v>
      </x:c>
      <x:c r="AJ45" t="n">
        <x:v>1</x:v>
      </x:c>
    </x:row>
    <x:row r="46">
      <x:c r="A46" s="12" t="str">
        <x:v>C09</x:v>
      </x:c>
      <x:c r="B46" s="12" t="str">
        <x:v>C09_M04</x:v>
      </x:c>
      <x:c r="C46" s="12" t="str"/>
      <x:c r="D46" s="18"/>
      <x:c r="E46" s="12" t="str">
        <x:v>DEFERRED</x:v>
      </x:c>
      <x:c r="F46" s="12" t="str"/>
      <x:c r="G46" s="13" t="b">
        <x:v>0</x:v>
      </x:c>
      <x:c r="H46" s="13" t="b">
        <x:v>0</x:v>
      </x:c>
      <x:c r="I46" s="16"/>
      <x:c r="J46" s="18" t="n">
        <x:v>602</x:v>
      </x:c>
      <x:c r="K46" s="16" t="n">
        <x:v>30.66700000000003</x:v>
      </x:c>
      <x:c r="L46" s="12" t="str">
        <x:v>Carry</x:v>
      </x:c>
      <x:c r="M46" s="12" t="str">
        <x:v>Bayer Leverkusen</x:v>
      </x:c>
      <x:c r="N46" s="12"/>
      <x:c r="O46" s="16" t="n">
        <x:v>50.4</x:v>
      </x:c>
      <x:c r="P46" s="16" t="n">
        <x:v>44.4</x:v>
      </x:c>
      <x:c r="Q46" s="16" t="n">
        <x:v>120</x:v>
      </x:c>
      <x:c r="R46" s="16" t="n">
        <x:v>69.6</x:v>
      </x:c>
      <x:c r="S46" s="16" t="n">
        <x:v>-10.200000000000003</x:v>
      </x:c>
      <x:c r="T46" s="18"/>
      <x:c r="U46" s="18"/>
      <x:c r="V46" s="16" t="n">
        <x:v>30.66700000000003</x:v>
      </x:c>
      <x:c r="W46" s="18" t="n">
        <x:v>28</x:v>
      </x:c>
      <x:c r="X46" s="12" t="str">
        <x:v>False</x:v>
      </x:c>
      <x:c r="Y46" s="16"/>
      <x:c r="Z46" s="18"/>
      <x:c r="AA46" s="12" t="str">
        <x:v>False</x:v>
      </x:c>
      <x:c r="AB46" s="12" t="str">
        <x:v>120 or above</x:v>
      </x:c>
      <x:c r="AC46" s="18" t="n">
        <x:v>600</x:v>
      </x:c>
      <x:c r="AD46" s="18" t="n">
        <x:v>603</x:v>
      </x:c>
      <x:c r="AE46" s="12" t="str"/>
      <x:c r="AF46" s="12" t="str">
        <x:v>review sampling criterion: first negative-to-positive action turn</x:v>
      </x:c>
      <x:c r="AG46" s="18" t="n">
        <x:v>3895153</x:v>
      </x:c>
      <x:c r="AH46" s="18" t="n">
        <x:v>1</x:v>
      </x:c>
      <x:c r="AI46" s="18" t="n">
        <x:v>21</x:v>
      </x:c>
      <x:c r="AJ46" t="n">
        <x:v>0</x:v>
      </x:c>
    </x:row>
    <x:row r="47">
      <x:c r="A47" s="12" t="str">
        <x:v>C09</x:v>
      </x:c>
      <x:c r="B47" s="12" t="str">
        <x:v>C09_M05</x:v>
      </x:c>
      <x:c r="C47" s="12" t="str"/>
      <x:c r="D47" s="18"/>
      <x:c r="E47" s="12" t="str">
        <x:v>DEFERRED</x:v>
      </x:c>
      <x:c r="F47" s="12" t="str"/>
      <x:c r="G47" s="13" t="b">
        <x:v>0</x:v>
      </x:c>
      <x:c r="H47" s="13" t="b">
        <x:v>0</x:v>
      </x:c>
      <x:c r="I47" s="16"/>
      <x:c r="J47" s="18" t="n">
        <x:v>616</x:v>
      </x:c>
      <x:c r="K47" s="16" t="n">
        <x:v>40.226</x:v>
      </x:c>
      <x:c r="L47" s="12" t="str">
        <x:v>Pass</x:v>
      </x:c>
      <x:c r="M47" s="12" t="str">
        <x:v>Bayer Leverkusen</x:v>
      </x:c>
      <x:c r="N47" s="12"/>
      <x:c r="O47" s="16" t="n">
        <x:v>46.2</x:v>
      </x:c>
      <x:c r="P47" s="16" t="n">
        <x:v>58.8</x:v>
      </x:c>
      <x:c r="Q47" s="16" t="n">
        <x:v>120</x:v>
      </x:c>
      <x:c r="R47" s="16" t="n">
        <x:v>73.8</x:v>
      </x:c>
      <x:c r="S47" s="16" t="n">
        <x:v>-12.599999999999994</x:v>
      </x:c>
      <x:c r="T47" s="18" t="n">
        <x:v>5</x:v>
      </x:c>
      <x:c r="U47" s="18" t="n">
        <x:v>5</x:v>
      </x:c>
      <x:c r="V47" s="16" t="n">
        <x:v>40.226</x:v>
      </x:c>
      <x:c r="W47" s="18" t="n">
        <x:v>42</x:v>
      </x:c>
      <x:c r="X47" s="12" t="str">
        <x:v>False</x:v>
      </x:c>
      <x:c r="Y47" s="16"/>
      <x:c r="Z47" s="18"/>
      <x:c r="AA47" s="12" t="str">
        <x:v>False</x:v>
      </x:c>
      <x:c r="AB47" s="12" t="str">
        <x:v>120 or above</x:v>
      </x:c>
      <x:c r="AC47" s="18" t="n">
        <x:v>614</x:v>
      </x:c>
      <x:c r="AD47" s="18" t="n">
        <x:v>618</x:v>
      </x:c>
      <x:c r="AE47" s="12" t="str"/>
      <x:c r="AF47" s="12" t="str">
        <x:v>review sampling criterion: negative run&gt;=3</x:v>
      </x:c>
      <x:c r="AG47" s="18" t="n">
        <x:v>3895153</x:v>
      </x:c>
      <x:c r="AH47" s="18" t="n">
        <x:v>1</x:v>
      </x:c>
      <x:c r="AI47" s="18" t="n">
        <x:v>21</x:v>
      </x:c>
      <x:c r="AJ47" t="n">
        <x:v>0</x:v>
      </x:c>
    </x:row>
    <x:row r="48">
      <x:c r="A48" s="12" t="str">
        <x:v>C10</x:v>
      </x:c>
      <x:c r="B48" s="12" t="str">
        <x:v>C10_M02</x:v>
      </x:c>
      <x:c r="C48" s="12" t="str">
        <x:v>CONTINUE</x:v>
      </x:c>
      <x:c r="D48" s="18" t="n">
        <x:v>3</x:v>
      </x:c>
      <x:c r="E48" s="12" t="str">
        <x:v>LOCKED</x:v>
      </x:c>
      <x:c r="F48" s="12" t="str">
        <x:v>negative/control example</x:v>
      </x:c>
      <x:c r="G48" s="13" t="b">
        <x:v>1</x:v>
      </x:c>
      <x:c r="H48" s="13" t="b">
        <x:v>0</x:v>
      </x:c>
      <x:c r="I48" s="16"/>
      <x:c r="J48" s="18" t="n">
        <x:v>2414</x:v>
      </x:c>
      <x:c r="K48" s="16" t="n">
        <x:v>2.2280000000000086</x:v>
      </x:c>
      <x:c r="L48" s="12" t="str">
        <x:v>Carry</x:v>
      </x:c>
      <x:c r="M48" s="12" t="str">
        <x:v>Bayer Leverkusen</x:v>
      </x:c>
      <x:c r="N48" s="12"/>
      <x:c r="O48" s="16" t="n">
        <x:v>85.1</x:v>
      </x:c>
      <x:c r="P48" s="16" t="n">
        <x:v>87.3</x:v>
      </x:c>
      <x:c r="Q48" s="16" t="n">
        <x:v>87.3</x:v>
      </x:c>
      <x:c r="R48" s="16" t="n">
        <x:v>2.200000000000003</x:v>
      </x:c>
      <x:c r="S48" s="16" t="n">
        <x:v>-2.200000000000003</x:v>
      </x:c>
      <x:c r="T48" s="18" t="n">
        <x:v>1</x:v>
      </x:c>
      <x:c r="U48" s="18" t="n">
        <x:v>1</x:v>
      </x:c>
      <x:c r="V48" s="16" t="n">
        <x:v>0</x:v>
      </x:c>
      <x:c r="W48" s="18" t="n">
        <x:v>0</x:v>
      </x:c>
      <x:c r="X48" s="12" t="str">
        <x:v>True</x:v>
      </x:c>
      <x:c r="Y48" s="16" t="n">
        <x:v>75.11500000000001</x:v>
      </x:c>
      <x:c r="Z48" s="18" t="n">
        <x:v>74</x:v>
      </x:c>
      <x:c r="AA48" s="12" t="str">
        <x:v>True</x:v>
      </x:c>
      <x:c r="AB48" s="12" t="str">
        <x:v>[80,100)</x:v>
      </x:c>
      <x:c r="AC48" s="18"/>
      <x:c r="AD48" s="18" t="n">
        <x:v>2415</x:v>
      </x:c>
      <x:c r="AE48" s="12" t="str"/>
      <x:c r="AF48" s="12" t="str">
        <x:v>review sampling criterion: first negative vector (no magnitude minimum)</x:v>
      </x:c>
      <x:c r="AG48" s="18" t="n">
        <x:v>3895167</x:v>
      </x:c>
      <x:c r="AH48" s="18" t="n">
        <x:v>2</x:v>
      </x:c>
      <x:c r="AI48" s="18" t="n">
        <x:v>106</x:v>
      </x:c>
      <x:c r="AJ48" t="n">
        <x:v>1</x:v>
      </x:c>
    </x:row>
    <x:row r="49">
      <x:c r="A49" s="12" t="str">
        <x:v>C10</x:v>
      </x:c>
      <x:c r="B49" s="12" t="str">
        <x:v>C10_M03</x:v>
      </x:c>
      <x:c r="C49" s="12" t="str">
        <x:v>POSSIBLE_RESET</x:v>
      </x:c>
      <x:c r="D49" s="18" t="n">
        <x:v>2</x:v>
      </x:c>
      <x:c r="E49" s="12" t="str">
        <x:v>LOCKED</x:v>
      </x:c>
      <x:c r="F49" s="12" t="str">
        <x:v>warning evidence</x:v>
      </x:c>
      <x:c r="G49" s="13" t="b">
        <x:v>1</x:v>
      </x:c>
      <x:c r="H49" s="13" t="b">
        <x:v>0</x:v>
      </x:c>
      <x:c r="I49" s="16"/>
      <x:c r="J49" s="18" t="n">
        <x:v>2416</x:v>
      </x:c>
      <x:c r="K49" s="16" t="n">
        <x:v>2.88900000000001</x:v>
      </x:c>
      <x:c r="L49" s="12" t="str">
        <x:v>Pass</x:v>
      </x:c>
      <x:c r="M49" s="12" t="str">
        <x:v>Bayer Leverkusen</x:v>
      </x:c>
      <x:c r="N49" s="12"/>
      <x:c r="O49" s="16" t="n">
        <x:v>62.9</x:v>
      </x:c>
      <x:c r="P49" s="16" t="n">
        <x:v>85.1</x:v>
      </x:c>
      <x:c r="Q49" s="16" t="n">
        <x:v>87.3</x:v>
      </x:c>
      <x:c r="R49" s="16" t="n">
        <x:v>24.4</x:v>
      </x:c>
      <x:c r="S49" s="16" t="n">
        <x:v>-22.199999999999996</x:v>
      </x:c>
      <x:c r="T49" s="18" t="n">
        <x:v>2</x:v>
      </x:c>
      <x:c r="U49" s="18" t="n">
        <x:v>2</x:v>
      </x:c>
      <x:c r="V49" s="16" t="n">
        <x:v>0.6610000000000014</x:v>
      </x:c>
      <x:c r="W49" s="18" t="n">
        <x:v>2</x:v>
      </x:c>
      <x:c r="X49" s="12" t="str">
        <x:v>True</x:v>
      </x:c>
      <x:c r="Y49" s="16" t="n">
        <x:v>74.45400000000001</x:v>
      </x:c>
      <x:c r="Z49" s="18" t="n">
        <x:v>72</x:v>
      </x:c>
      <x:c r="AA49" s="12" t="str">
        <x:v>True</x:v>
      </x:c>
      <x:c r="AB49" s="12" t="str">
        <x:v>[80,100)</x:v>
      </x:c>
      <x:c r="AC49" s="18" t="n">
        <x:v>2415</x:v>
      </x:c>
      <x:c r="AD49" s="18" t="n">
        <x:v>2418</x:v>
      </x:c>
      <x:c r="AE49" s="12" t="str"/>
      <x:c r="AF49" s="12" t="str">
        <x:v>review sampling criterion: peak_retreat&gt;=15; review sampling criterion: peak_retreat&gt;=5; review sampling criterion: single_negative&gt;=15; review sampling criterion: single_negative&gt;=5</x:v>
      </x:c>
      <x:c r="AG49" s="18" t="n">
        <x:v>3895167</x:v>
      </x:c>
      <x:c r="AH49" s="18" t="n">
        <x:v>2</x:v>
      </x:c>
      <x:c r="AI49" s="18" t="n">
        <x:v>106</x:v>
      </x:c>
      <x:c r="AJ49" t="n">
        <x:v>1</x:v>
      </x:c>
    </x:row>
    <x:row r="50">
      <x:c r="A50" s="12" t="str">
        <x:v>C10</x:v>
      </x:c>
      <x:c r="B50" s="12" t="str">
        <x:v>C10_M04</x:v>
      </x:c>
      <x:c r="C50" s="12" t="str">
        <x:v>POSSIBLE_RESET</x:v>
      </x:c>
      <x:c r="D50" s="18" t="n">
        <x:v>2</x:v>
      </x:c>
      <x:c r="E50" s="12" t="str">
        <x:v>LOCKED</x:v>
      </x:c>
      <x:c r="F50" s="12" t="str">
        <x:v>warning evidence</x:v>
      </x:c>
      <x:c r="G50" s="13" t="b">
        <x:v>1</x:v>
      </x:c>
      <x:c r="H50" s="13" t="b">
        <x:v>0</x:v>
      </x:c>
      <x:c r="I50" s="16"/>
      <x:c r="J50" s="18" t="n">
        <x:v>2418</x:v>
      </x:c>
      <x:c r="K50" s="16" t="n">
        <x:v>5.105000000000018</x:v>
      </x:c>
      <x:c r="L50" s="12" t="str">
        <x:v>Carry</x:v>
      </x:c>
      <x:c r="M50" s="12" t="str">
        <x:v>Bayer Leverkusen</x:v>
      </x:c>
      <x:c r="N50" s="12"/>
      <x:c r="O50" s="16" t="n">
        <x:v>50</x:v>
      </x:c>
      <x:c r="P50" s="16" t="n">
        <x:v>62.9</x:v>
      </x:c>
      <x:c r="Q50" s="16" t="n">
        <x:v>87.3</x:v>
      </x:c>
      <x:c r="R50" s="16" t="n">
        <x:v>37.3</x:v>
      </x:c>
      <x:c r="S50" s="16" t="n">
        <x:v>-22.199999999999996</x:v>
      </x:c>
      <x:c r="T50" s="18" t="n">
        <x:v>3</x:v>
      </x:c>
      <x:c r="U50" s="18" t="n">
        <x:v>3</x:v>
      </x:c>
      <x:c r="V50" s="16" t="n">
        <x:v>2.8770000000000095</x:v>
      </x:c>
      <x:c r="W50" s="18" t="n">
        <x:v>4</x:v>
      </x:c>
      <x:c r="X50" s="12" t="str">
        <x:v>True</x:v>
      </x:c>
      <x:c r="Y50" s="16" t="n">
        <x:v>72.238</x:v>
      </x:c>
      <x:c r="Z50" s="18" t="n">
        <x:v>70</x:v>
      </x:c>
      <x:c r="AA50" s="12" t="str">
        <x:v>True</x:v>
      </x:c>
      <x:c r="AB50" s="12" t="str">
        <x:v>[80,100)</x:v>
      </x:c>
      <x:c r="AC50" s="18" t="n">
        <x:v>2416</x:v>
      </x:c>
      <x:c r="AD50" s="18" t="n">
        <x:v>2419</x:v>
      </x:c>
      <x:c r="AE50" s="12" t="str">
        <x:v>Transition/reset-warning phase.</x:v>
      </x:c>
      <x:c r="AF50" s="12" t="str">
        <x:v>review sampling criterion: peak_retreat&gt;=30</x:v>
      </x:c>
      <x:c r="AG50" s="18" t="n">
        <x:v>3895167</x:v>
      </x:c>
      <x:c r="AH50" s="18" t="n">
        <x:v>2</x:v>
      </x:c>
      <x:c r="AI50" s="18" t="n">
        <x:v>106</x:v>
      </x:c>
      <x:c r="AJ50" t="n">
        <x:v>1</x:v>
      </x:c>
    </x:row>
    <x:row r="51">
      <x:c r="A51" s="12" t="str">
        <x:v>C10</x:v>
      </x:c>
      <x:c r="B51" s="12" t="str">
        <x:v>C10_M05</x:v>
      </x:c>
      <x:c r="C51" s="12" t="str">
        <x:v>CLEAR_RESET</x:v>
      </x:c>
      <x:c r="D51" s="18" t="n">
        <x:v>3</x:v>
      </x:c>
      <x:c r="E51" s="12" t="str">
        <x:v>LOCKED</x:v>
      </x:c>
      <x:c r="F51" s="12" t="str">
        <x:v>confirmed reset evidence</x:v>
      </x:c>
      <x:c r="G51" s="13" t="b">
        <x:v>1</x:v>
      </x:c>
      <x:c r="H51" s="13" t="b">
        <x:v>0</x:v>
      </x:c>
      <x:c r="I51" s="16"/>
      <x:c r="J51" s="18" t="n">
        <x:v>2420</x:v>
      </x:c>
      <x:c r="K51" s="16" t="n">
        <x:v>7.430000000000007</x:v>
      </x:c>
      <x:c r="L51" s="12" t="str">
        <x:v>Pass</x:v>
      </x:c>
      <x:c r="M51" s="12" t="str">
        <x:v>Bayer Leverkusen</x:v>
      </x:c>
      <x:c r="N51" s="12"/>
      <x:c r="O51" s="16" t="n">
        <x:v>38.7</x:v>
      </x:c>
      <x:c r="P51" s="16" t="n">
        <x:v>50</x:v>
      </x:c>
      <x:c r="Q51" s="16" t="n">
        <x:v>87.3</x:v>
      </x:c>
      <x:c r="R51" s="16" t="n">
        <x:v>48.599999999999994</x:v>
      </x:c>
      <x:c r="S51" s="16" t="n">
        <x:v>-22.199999999999996</x:v>
      </x:c>
      <x:c r="T51" s="18" t="n">
        <x:v>4</x:v>
      </x:c>
      <x:c r="U51" s="18" t="n">
        <x:v>4</x:v>
      </x:c>
      <x:c r="V51" s="16" t="n">
        <x:v>5.201999999999998</x:v>
      </x:c>
      <x:c r="W51" s="18" t="n">
        <x:v>6</x:v>
      </x:c>
      <x:c r="X51" s="12" t="str">
        <x:v>True</x:v>
      </x:c>
      <x:c r="Y51" s="16" t="n">
        <x:v>69.91300000000001</x:v>
      </x:c>
      <x:c r="Z51" s="18" t="n">
        <x:v>68</x:v>
      </x:c>
      <x:c r="AA51" s="12" t="str">
        <x:v>True</x:v>
      </x:c>
      <x:c r="AB51" s="12" t="str">
        <x:v>[80,100)</x:v>
      </x:c>
      <x:c r="AC51" s="18" t="n">
        <x:v>2419</x:v>
      </x:c>
      <x:c r="AD51" s="18" t="n">
        <x:v>2422</x:v>
      </x:c>
      <x:c r="AE51" s="12" t="str"/>
      <x:c r="AF51" s="12" t="str">
        <x:v>review sampling criterion: peak_retreat&gt;=40</x:v>
      </x:c>
      <x:c r="AG51" s="18" t="n">
        <x:v>3895167</x:v>
      </x:c>
      <x:c r="AH51" s="18" t="n">
        <x:v>2</x:v>
      </x:c>
      <x:c r="AI51" s="18" t="n">
        <x:v>106</x:v>
      </x:c>
      <x:c r="AJ51" t="n">
        <x:v>1</x:v>
      </x:c>
    </x:row>
    <x:row r="52">
      <x:c r="A52" s="12" t="str">
        <x:v>C10</x:v>
      </x:c>
      <x:c r="B52" s="12" t="str">
        <x:v>C10_M06</x:v>
      </x:c>
      <x:c r="C52" s="12" t="str">
        <x:v>CLEAR_RESET</x:v>
      </x:c>
      <x:c r="D52" s="18" t="n">
        <x:v>3</x:v>
      </x:c>
      <x:c r="E52" s="12" t="str">
        <x:v>LOCKED</x:v>
      </x:c>
      <x:c r="F52" s="12" t="str">
        <x:v>confirmed reset evidence</x:v>
      </x:c>
      <x:c r="G52" s="13" t="b">
        <x:v>1</x:v>
      </x:c>
      <x:c r="H52" s="13" t="b">
        <x:v>0</x:v>
      </x:c>
      <x:c r="I52" s="16"/>
      <x:c r="J52" s="18" t="n">
        <x:v>2422</x:v>
      </x:c>
      <x:c r="K52" s="16" t="n">
        <x:v>9.199000000000012</x:v>
      </x:c>
      <x:c r="L52" s="12" t="str">
        <x:v>Carry</x:v>
      </x:c>
      <x:c r="M52" s="12" t="str">
        <x:v>Bayer Leverkusen</x:v>
      </x:c>
      <x:c r="N52" s="12"/>
      <x:c r="O52" s="16" t="n">
        <x:v>31.1</x:v>
      </x:c>
      <x:c r="P52" s="16" t="n">
        <x:v>38.7</x:v>
      </x:c>
      <x:c r="Q52" s="16" t="n">
        <x:v>87.3</x:v>
      </x:c>
      <x:c r="R52" s="16" t="n">
        <x:v>56.199999999999996</x:v>
      </x:c>
      <x:c r="S52" s="16" t="n">
        <x:v>-12.899999999999999</x:v>
      </x:c>
      <x:c r="T52" s="18" t="n">
        <x:v>5</x:v>
      </x:c>
      <x:c r="U52" s="18" t="n">
        <x:v>5</x:v>
      </x:c>
      <x:c r="V52" s="16" t="n">
        <x:v>6.971000000000004</x:v>
      </x:c>
      <x:c r="W52" s="18" t="n">
        <x:v>8</x:v>
      </x:c>
      <x:c r="X52" s="12" t="str">
        <x:v>True</x:v>
      </x:c>
      <x:c r="Y52" s="16" t="n">
        <x:v>68.144</x:v>
      </x:c>
      <x:c r="Z52" s="18" t="n">
        <x:v>66</x:v>
      </x:c>
      <x:c r="AA52" s="12" t="str">
        <x:v>True</x:v>
      </x:c>
      <x:c r="AB52" s="12" t="str">
        <x:v>[80,100)</x:v>
      </x:c>
      <x:c r="AC52" s="18" t="n">
        <x:v>2420</x:v>
      </x:c>
      <x:c r="AD52" s="18" t="n">
        <x:v>2423</x:v>
      </x:c>
      <x:c r="AE52" s="12" t="str">
        <x:v>Same established reset.</x:v>
      </x:c>
      <x:c r="AF52" s="12" t="str">
        <x:v>review sampling criterion: negative run&gt;=2; review sampling criterion: negative run&gt;=3; review sampling criterion: nonpositive run&gt;=2; review sampling criterion: nonpositive run&gt;=3</x:v>
      </x:c>
      <x:c r="AG52" s="18" t="n">
        <x:v>3895167</x:v>
      </x:c>
      <x:c r="AH52" s="18" t="n">
        <x:v>2</x:v>
      </x:c>
      <x:c r="AI52" s="18" t="n">
        <x:v>106</x:v>
      </x:c>
      <x:c r="AJ52" t="n">
        <x:v>1</x:v>
      </x:c>
    </x:row>
    <x:row r="53">
      <x:c r="A53" s="12" t="str">
        <x:v>C10</x:v>
      </x:c>
      <x:c r="B53" s="12" t="str">
        <x:v>C10_M07</x:v>
      </x:c>
      <x:c r="C53" s="12" t="str">
        <x:v>CONTINUE</x:v>
      </x:c>
      <x:c r="D53" s="18" t="n">
        <x:v>3</x:v>
      </x:c>
      <x:c r="E53" s="12" t="str">
        <x:v>LOCKED</x:v>
      </x:c>
      <x:c r="F53" s="12" t="str">
        <x:v>negative/control example</x:v>
      </x:c>
      <x:c r="G53" s="13" t="b">
        <x:v>1</x:v>
      </x:c>
      <x:c r="H53" s="13" t="b">
        <x:v>0</x:v>
      </x:c>
      <x:c r="I53" s="16"/>
      <x:c r="J53" s="18" t="n">
        <x:v>2423</x:v>
      </x:c>
      <x:c r="K53" s="16" t="n">
        <x:v>11.041000000000054</x:v>
      </x:c>
      <x:c r="L53" s="12" t="str">
        <x:v>Pass</x:v>
      </x:c>
      <x:c r="M53" s="12" t="str">
        <x:v>Bayer Leverkusen</x:v>
      </x:c>
      <x:c r="N53" s="12"/>
      <x:c r="O53" s="16" t="n">
        <x:v>37.1</x:v>
      </x:c>
      <x:c r="P53" s="16" t="n">
        <x:v>31.1</x:v>
      </x:c>
      <x:c r="Q53" s="16" t="n">
        <x:v>87.3</x:v>
      </x:c>
      <x:c r="R53" s="16" t="n">
        <x:v>50.199999999999996</x:v>
      </x:c>
      <x:c r="S53" s="16" t="n">
        <x:v>-11.299999999999997</x:v>
      </x:c>
      <x:c r="T53" s="18"/>
      <x:c r="U53" s="18"/>
      <x:c r="V53" s="16" t="n">
        <x:v>8.813000000000045</x:v>
      </x:c>
      <x:c r="W53" s="18" t="n">
        <x:v>9</x:v>
      </x:c>
      <x:c r="X53" s="12" t="str">
        <x:v>True</x:v>
      </x:c>
      <x:c r="Y53" s="16" t="n">
        <x:v>66.30199999999996</x:v>
      </x:c>
      <x:c r="Z53" s="18" t="n">
        <x:v>65</x:v>
      </x:c>
      <x:c r="AA53" s="12" t="str">
        <x:v>True</x:v>
      </x:c>
      <x:c r="AB53" s="12" t="str">
        <x:v>[80,100)</x:v>
      </x:c>
      <x:c r="AC53" s="18" t="n">
        <x:v>2422</x:v>
      </x:c>
      <x:c r="AD53" s="18" t="n">
        <x:v>2425</x:v>
      </x:c>
      <x:c r="AE53" s="12" t="str">
        <x:v>New phase after reset.</x:v>
      </x:c>
      <x:c r="AF53" s="12" t="str">
        <x:v>review sampling criterion: first negative-to-positive action turn</x:v>
      </x:c>
      <x:c r="AG53" s="18" t="n">
        <x:v>3895167</x:v>
      </x:c>
      <x:c r="AH53" s="18" t="n">
        <x:v>2</x:v>
      </x:c>
      <x:c r="AI53" s="18" t="n">
        <x:v>106</x:v>
      </x:c>
      <x:c r="AJ53" t="n">
        <x:v>1</x:v>
      </x:c>
    </x:row>
    <x:row r="54">
      <x:c r="A54" s="12" t="str">
        <x:v>C10</x:v>
      </x:c>
      <x:c r="B54" s="12" t="str">
        <x:v>C10_M08</x:v>
      </x:c>
      <x:c r="C54" s="12" t="str"/>
      <x:c r="D54" s="18"/>
      <x:c r="E54" s="12" t="str">
        <x:v>DEFERRED</x:v>
      </x:c>
      <x:c r="F54" s="12" t="str"/>
      <x:c r="G54" s="13" t="b">
        <x:v>0</x:v>
      </x:c>
      <x:c r="H54" s="13" t="b">
        <x:v>0</x:v>
      </x:c>
      <x:c r="I54" s="16"/>
      <x:c r="J54" s="18" t="n">
        <x:v>2451</x:v>
      </x:c>
      <x:c r="K54" s="16" t="n">
        <x:v>37.75500000000005</x:v>
      </x:c>
      <x:c r="L54" s="12" t="str">
        <x:v>Pressure</x:v>
      </x:c>
      <x:c r="M54" s="12" t="str">
        <x:v>VfB Stuttgart</x:v>
      </x:c>
      <x:c r="N54" s="12"/>
      <x:c r="O54" s="16"/>
      <x:c r="P54" s="16" t="n">
        <x:v>54.400000000000006</x:v>
      </x:c>
      <x:c r="Q54" s="16" t="n">
        <x:v>87.3</x:v>
      </x:c>
      <x:c r="R54" s="16"/>
      <x:c r="S54" s="16" t="n">
        <x:v>-1.8999999999999986</x:v>
      </x:c>
      <x:c r="T54" s="18"/>
      <x:c r="U54" s="18"/>
      <x:c r="V54" s="16" t="n">
        <x:v>35.527000000000044</x:v>
      </x:c>
      <x:c r="W54" s="18" t="n">
        <x:v>37</x:v>
      </x:c>
      <x:c r="X54" s="12"/>
      <x:c r="Y54" s="16"/>
      <x:c r="Z54" s="18"/>
      <x:c r="AA54" s="12"/>
      <x:c r="AB54" s="12" t="str">
        <x:v>[80,100)</x:v>
      </x:c>
      <x:c r="AC54" s="18" t="n">
        <x:v>2450</x:v>
      </x:c>
      <x:c r="AD54" s="18" t="n">
        <x:v>2452</x:v>
      </x:c>
      <x:c r="AE54" s="12" t="str"/>
      <x:c r="AF54" s="12" t="str">
        <x:v>review sampling criterion: first full-event gap&gt;3s</x:v>
      </x:c>
      <x:c r="AG54" s="18" t="n">
        <x:v>3895167</x:v>
      </x:c>
      <x:c r="AH54" s="18" t="n">
        <x:v>2</x:v>
      </x:c>
      <x:c r="AI54" s="18" t="n">
        <x:v>106</x:v>
      </x:c>
      <x:c r="AJ54" t="n">
        <x:v>0</x:v>
      </x:c>
    </x:row>
    <x:row r="55">
      <x:c r="A55" s="12" t="str">
        <x:v>C10</x:v>
      </x:c>
      <x:c r="B55" s="12" t="str">
        <x:v>C10_M09</x:v>
      </x:c>
      <x:c r="C55" s="12" t="str"/>
      <x:c r="D55" s="18"/>
      <x:c r="E55" s="12" t="str">
        <x:v>DEFERRED</x:v>
      </x:c>
      <x:c r="F55" s="12" t="str"/>
      <x:c r="G55" s="13" t="b">
        <x:v>0</x:v>
      </x:c>
      <x:c r="H55" s="13" t="b">
        <x:v>0</x:v>
      </x:c>
      <x:c r="I55" s="16"/>
      <x:c r="J55" s="18" t="n">
        <x:v>2488</x:v>
      </x:c>
      <x:c r="K55" s="16" t="n">
        <x:v>77.34300000000002</x:v>
      </x:c>
      <x:c r="L55" s="12" t="str">
        <x:v>Pass</x:v>
      </x:c>
      <x:c r="M55" s="12" t="str">
        <x:v>Bayer Leverkusen</x:v>
      </x:c>
      <x:c r="N55" s="12"/>
      <x:c r="O55" s="16" t="n">
        <x:v>107.8</x:v>
      </x:c>
      <x:c r="P55" s="16" t="n">
        <x:v>77.6</x:v>
      </x:c>
      <x:c r="Q55" s="16" t="n">
        <x:v>107.8</x:v>
      </x:c>
      <x:c r="R55" s="16" t="n">
        <x:v>0</x:v>
      </x:c>
      <x:c r="S55" s="16" t="n">
        <x:v>-2.5</x:v>
      </x:c>
      <x:c r="T55" s="18"/>
      <x:c r="U55" s="18"/>
      <x:c r="V55" s="16" t="n">
        <x:v>0</x:v>
      </x:c>
      <x:c r="W55" s="18" t="n">
        <x:v>0</x:v>
      </x:c>
      <x:c r="X55" s="12"/>
      <x:c r="Y55" s="16"/>
      <x:c r="Z55" s="18"/>
      <x:c r="AA55" s="12"/>
      <x:c r="AB55" s="12" t="str">
        <x:v>[80,100)</x:v>
      </x:c>
      <x:c r="AC55" s="18" t="n">
        <x:v>2487</x:v>
      </x:c>
      <x:c r="AD55" s="18" t="n">
        <x:v>2491</x:v>
      </x:c>
      <x:c r="AE55" s="12" t="str"/>
      <x:c r="AF55" s="12" t="str">
        <x:v>review sampling criterion: shortest/longest observed record-peak recovery</x:v>
      </x:c>
      <x:c r="AG55" s="18" t="n">
        <x:v>3895167</x:v>
      </x:c>
      <x:c r="AH55" s="18" t="n">
        <x:v>2</x:v>
      </x:c>
      <x:c r="AI55" s="18" t="n">
        <x:v>106</x:v>
      </x:c>
      <x:c r="AJ55" t="n">
        <x:v>0</x:v>
      </x:c>
    </x:row>
    <x:row r="56">
      <x:c r="A56" s="12" t="str">
        <x:v>C10</x:v>
      </x:c>
      <x:c r="B56" s="12" t="str">
        <x:v>C10_M10</x:v>
      </x:c>
      <x:c r="C56" s="12" t="str"/>
      <x:c r="D56" s="18"/>
      <x:c r="E56" s="12" t="str">
        <x:v>DEFERRED</x:v>
      </x:c>
      <x:c r="F56" s="12" t="str"/>
      <x:c r="G56" s="13" t="b">
        <x:v>0</x:v>
      </x:c>
      <x:c r="H56" s="13" t="b">
        <x:v>0</x:v>
      </x:c>
      <x:c r="I56" s="16"/>
      <x:c r="J56" s="18" t="n">
        <x:v>2504</x:v>
      </x:c>
      <x:c r="K56" s="16" t="n">
        <x:v>88.76100000000002</x:v>
      </x:c>
      <x:c r="L56" s="12" t="str">
        <x:v>Pass</x:v>
      </x:c>
      <x:c r="M56" s="12" t="str">
        <x:v>Bayer Leverkusen</x:v>
      </x:c>
      <x:c r="N56" s="12"/>
      <x:c r="O56" s="16" t="n">
        <x:v>113.4</x:v>
      </x:c>
      <x:c r="P56" s="16" t="n">
        <x:v>99</x:v>
      </x:c>
      <x:c r="Q56" s="16" t="n">
        <x:v>113.4</x:v>
      </x:c>
      <x:c r="R56" s="16" t="n">
        <x:v>0</x:v>
      </x:c>
      <x:c r="S56" s="16" t="n">
        <x:v>0</x:v>
      </x:c>
      <x:c r="T56" s="18"/>
      <x:c r="U56" s="18"/>
      <x:c r="V56" s="16" t="n">
        <x:v>0</x:v>
      </x:c>
      <x:c r="W56" s="18" t="n">
        <x:v>0</x:v>
      </x:c>
      <x:c r="X56" s="12"/>
      <x:c r="Y56" s="16"/>
      <x:c r="Z56" s="18"/>
      <x:c r="AA56" s="12"/>
      <x:c r="AB56" s="12" t="str">
        <x:v>[80,100)</x:v>
      </x:c>
      <x:c r="AC56" s="18" t="n">
        <x:v>2503</x:v>
      </x:c>
      <x:c r="AD56" s="18" t="n">
        <x:v>2505</x:v>
      </x:c>
      <x:c r="AE56" s="12" t="str"/>
      <x:c r="AF56" s="12" t="str">
        <x:v>review sampling criterion: shortest/longest observed record-peak recovery</x:v>
      </x:c>
      <x:c r="AG56" s="18" t="n">
        <x:v>3895167</x:v>
      </x:c>
      <x:c r="AH56" s="18" t="n">
        <x:v>2</x:v>
      </x:c>
      <x:c r="AI56" s="18" t="n">
        <x:v>106</x:v>
      </x:c>
      <x:c r="AJ56" t="n">
        <x:v>0</x:v>
      </x:c>
    </x:row>
    <x:row r="57">
      <x:c r="A57" s="12" t="str">
        <x:v>C11</x:v>
      </x:c>
      <x:c r="B57" s="12" t="str">
        <x:v>C11_M02</x:v>
      </x:c>
      <x:c r="C57" s="12" t="str">
        <x:v>CLEAR_RESET</x:v>
      </x:c>
      <x:c r="D57" s="18" t="n">
        <x:v>3</x:v>
      </x:c>
      <x:c r="E57" s="12" t="str">
        <x:v>LOCKED</x:v>
      </x:c>
      <x:c r="F57" s="12" t="str">
        <x:v>confirmed reset evidence</x:v>
      </x:c>
      <x:c r="G57" s="13" t="b">
        <x:v>1</x:v>
      </x:c>
      <x:c r="H57" s="13" t="b">
        <x:v>0</x:v>
      </x:c>
      <x:c r="I57" s="16"/>
      <x:c r="J57" s="18" t="n">
        <x:v>783</x:v>
      </x:c>
      <x:c r="K57" s="16" t="n">
        <x:v>6.921000000000049</x:v>
      </x:c>
      <x:c r="L57" s="12" t="str">
        <x:v>Carry</x:v>
      </x:c>
      <x:c r="M57" s="12" t="str">
        <x:v>Bayer Leverkusen</x:v>
      </x:c>
      <x:c r="N57" s="12"/>
      <x:c r="O57" s="16" t="n">
        <x:v>57.2</x:v>
      </x:c>
      <x:c r="P57" s="16" t="n">
        <x:v>85.3</x:v>
      </x:c>
      <x:c r="Q57" s="16" t="n">
        <x:v>120</x:v>
      </x:c>
      <x:c r="R57" s="16" t="n">
        <x:v>62.8</x:v>
      </x:c>
      <x:c r="S57" s="16" t="n">
        <x:v>-28.099999999999994</x:v>
      </x:c>
      <x:c r="T57" s="18" t="n">
        <x:v>2</x:v>
      </x:c>
      <x:c r="U57" s="18" t="n">
        <x:v>2</x:v>
      </x:c>
      <x:c r="V57" s="16" t="n">
        <x:v>6.921000000000049</x:v>
      </x:c>
      <x:c r="W57" s="18" t="n">
        <x:v>5</x:v>
      </x:c>
      <x:c r="X57" s="12" t="str">
        <x:v>False</x:v>
      </x:c>
      <x:c r="Y57" s="16"/>
      <x:c r="Z57" s="18"/>
      <x:c r="AA57" s="12" t="str">
        <x:v>False</x:v>
      </x:c>
      <x:c r="AB57" s="12" t="str">
        <x:v>120 or above</x:v>
      </x:c>
      <x:c r="AC57" s="18" t="n">
        <x:v>778</x:v>
      </x:c>
      <x:c r="AD57" s="18" t="n">
        <x:v>786</x:v>
      </x:c>
      <x:c r="AE57" s="12" t="str">
        <x:v>Corner cleared + recovery + deep recycle.</x:v>
      </x:c>
      <x:c r="AF57" s="12" t="str">
        <x:v>review sampling criterion: peak_retreat&gt;=15; review sampling criterion: peak_retreat&gt;=30; review sampling criterion: peak_retreat&gt;=40; review sampling criterion: peak_retreat&gt;=5; review sampling criterion: single_negative&gt;=15; review sampling criterion: single_negative&gt;=5</x:v>
      </x:c>
      <x:c r="AG57" s="18" t="n">
        <x:v>3895210</x:v>
      </x:c>
      <x:c r="AH57" s="18" t="n">
        <x:v>1</x:v>
      </x:c>
      <x:c r="AI57" s="18" t="n">
        <x:v>15</x:v>
      </x:c>
      <x:c r="AJ57" t="n">
        <x:v>1</x:v>
      </x:c>
    </x:row>
    <x:row r="58">
      <x:c r="A58" s="12" t="str">
        <x:v>C11</x:v>
      </x:c>
      <x:c r="B58" s="12" t="str">
        <x:v>C11_M03</x:v>
      </x:c>
      <x:c r="C58" s="12" t="str">
        <x:v>CONTINUE</x:v>
      </x:c>
      <x:c r="D58" s="18" t="n">
        <x:v>3</x:v>
      </x:c>
      <x:c r="E58" s="12" t="str">
        <x:v>LOCKED</x:v>
      </x:c>
      <x:c r="F58" s="12" t="str">
        <x:v>negative/control example</x:v>
      </x:c>
      <x:c r="G58" s="13" t="b">
        <x:v>1</x:v>
      </x:c>
      <x:c r="H58" s="13" t="b">
        <x:v>0</x:v>
      </x:c>
      <x:c r="I58" s="16"/>
      <x:c r="J58" s="18" t="n">
        <x:v>788</x:v>
      </x:c>
      <x:c r="K58" s="16" t="n">
        <x:v>14.572000000000003</x:v>
      </x:c>
      <x:c r="L58" s="12" t="str">
        <x:v>Pass</x:v>
      </x:c>
      <x:c r="M58" s="12" t="str">
        <x:v>Bayer Leverkusen</x:v>
      </x:c>
      <x:c r="N58" s="12"/>
      <x:c r="O58" s="16" t="n">
        <x:v>56.5</x:v>
      </x:c>
      <x:c r="P58" s="16" t="n">
        <x:v>58.4</x:v>
      </x:c>
      <x:c r="Q58" s="16" t="n">
        <x:v>120</x:v>
      </x:c>
      <x:c r="R58" s="16" t="n">
        <x:v>63.5</x:v>
      </x:c>
      <x:c r="S58" s="16" t="n">
        <x:v>-28.099999999999994</x:v>
      </x:c>
      <x:c r="T58" s="18" t="n">
        <x:v>4</x:v>
      </x:c>
      <x:c r="U58" s="18" t="n">
        <x:v>4</x:v>
      </x:c>
      <x:c r="V58" s="16" t="n">
        <x:v>14.572000000000003</x:v>
      </x:c>
      <x:c r="W58" s="18" t="n">
        <x:v>10</x:v>
      </x:c>
      <x:c r="X58" s="12" t="str">
        <x:v>False</x:v>
      </x:c>
      <x:c r="Y58" s="16"/>
      <x:c r="Z58" s="18"/>
      <x:c r="AA58" s="12" t="str">
        <x:v>False</x:v>
      </x:c>
      <x:c r="AB58" s="12" t="str">
        <x:v>120 or above</x:v>
      </x:c>
      <x:c r="AC58" s="18" t="n">
        <x:v>787</x:v>
      </x:c>
      <x:c r="AD58" s="18" t="n">
        <x:v>790</x:v>
      </x:c>
      <x:c r="AE58" s="12" t="str"/>
      <x:c r="AF58" s="12" t="str">
        <x:v>review sampling criterion: negative run&gt;=2; review sampling criterion: negative run&gt;=3</x:v>
      </x:c>
      <x:c r="AG58" s="18" t="n">
        <x:v>3895210</x:v>
      </x:c>
      <x:c r="AH58" s="18" t="n">
        <x:v>1</x:v>
      </x:c>
      <x:c r="AI58" s="18" t="n">
        <x:v>15</x:v>
      </x:c>
      <x:c r="AJ58" t="n">
        <x:v>1</x:v>
      </x:c>
    </x:row>
    <x:row r="59">
      <x:c r="A59" s="12" t="str">
        <x:v>C11</x:v>
      </x:c>
      <x:c r="B59" s="12" t="str">
        <x:v>C11_M04</x:v>
      </x:c>
      <x:c r="C59" s="12" t="str">
        <x:v>CONTINUE</x:v>
      </x:c>
      <x:c r="D59" s="18" t="n">
        <x:v>3</x:v>
      </x:c>
      <x:c r="E59" s="12" t="str">
        <x:v>LOCKED</x:v>
      </x:c>
      <x:c r="F59" s="12" t="str">
        <x:v>negative/control example</x:v>
      </x:c>
      <x:c r="G59" s="13" t="b">
        <x:v>1</x:v>
      </x:c>
      <x:c r="H59" s="13" t="b">
        <x:v>0</x:v>
      </x:c>
      <x:c r="I59" s="16"/>
      <x:c r="J59" s="18" t="n">
        <x:v>790</x:v>
      </x:c>
      <x:c r="K59" s="16" t="n">
        <x:v>16.076000000000022</x:v>
      </x:c>
      <x:c r="L59" s="12" t="str">
        <x:v>Carry</x:v>
      </x:c>
      <x:c r="M59" s="12" t="str">
        <x:v>Bayer Leverkusen</x:v>
      </x:c>
      <x:c r="N59" s="12"/>
      <x:c r="O59" s="16" t="n">
        <x:v>56.5</x:v>
      </x:c>
      <x:c r="P59" s="16" t="n">
        <x:v>56.5</x:v>
      </x:c>
      <x:c r="Q59" s="16" t="n">
        <x:v>120</x:v>
      </x:c>
      <x:c r="R59" s="16" t="n">
        <x:v>63.5</x:v>
      </x:c>
      <x:c r="S59" s="16" t="n">
        <x:v>-1.8999999999999986</x:v>
      </x:c>
      <x:c r="T59" s="18"/>
      <x:c r="U59" s="18" t="n">
        <x:v>5</x:v>
      </x:c>
      <x:c r="V59" s="16" t="n">
        <x:v>16.076000000000022</x:v>
      </x:c>
      <x:c r="W59" s="18" t="n">
        <x:v>12</x:v>
      </x:c>
      <x:c r="X59" s="12" t="str">
        <x:v>False</x:v>
      </x:c>
      <x:c r="Y59" s="16"/>
      <x:c r="Z59" s="18"/>
      <x:c r="AA59" s="12" t="str">
        <x:v>False</x:v>
      </x:c>
      <x:c r="AB59" s="12" t="str">
        <x:v>120 or above</x:v>
      </x:c>
      <x:c r="AC59" s="18" t="n">
        <x:v>788</x:v>
      </x:c>
      <x:c r="AD59" s="18" t="n">
        <x:v>791</x:v>
      </x:c>
      <x:c r="AE59" s="12" t="str"/>
      <x:c r="AF59" s="12" t="str">
        <x:v>review sampling criterion: nonpositive run&gt;=2; review sampling criterion: nonpositive run&gt;=3</x:v>
      </x:c>
      <x:c r="AG59" s="18" t="n">
        <x:v>3895210</x:v>
      </x:c>
      <x:c r="AH59" s="18" t="n">
        <x:v>1</x:v>
      </x:c>
      <x:c r="AI59" s="18" t="n">
        <x:v>15</x:v>
      </x:c>
      <x:c r="AJ59" t="n">
        <x:v>1</x:v>
      </x:c>
    </x:row>
    <x:row r="60">
      <x:c r="A60" s="12" t="str">
        <x:v>C11</x:v>
      </x:c>
      <x:c r="B60" s="12" t="str">
        <x:v>C11_M05</x:v>
      </x:c>
      <x:c r="C60" s="12" t="str">
        <x:v>CONTINUE</x:v>
      </x:c>
      <x:c r="D60" s="18" t="n">
        <x:v>3</x:v>
      </x:c>
      <x:c r="E60" s="12" t="str">
        <x:v>LOCKED</x:v>
      </x:c>
      <x:c r="F60" s="12" t="str">
        <x:v>negative/control example</x:v>
      </x:c>
      <x:c r="G60" s="13" t="b">
        <x:v>1</x:v>
      </x:c>
      <x:c r="H60" s="13" t="b">
        <x:v>0</x:v>
      </x:c>
      <x:c r="I60" s="16"/>
      <x:c r="J60" s="18" t="n">
        <x:v>794</x:v>
      </x:c>
      <x:c r="K60" s="16" t="n">
        <x:v>21.529999999999973</x:v>
      </x:c>
      <x:c r="L60" s="12" t="str">
        <x:v>Pass</x:v>
      </x:c>
      <x:c r="M60" s="12" t="str">
        <x:v>Bayer Leverkusen</x:v>
      </x:c>
      <x:c r="N60" s="12"/>
      <x:c r="O60" s="16" t="n">
        <x:v>55.4</x:v>
      </x:c>
      <x:c r="P60" s="16" t="n">
        <x:v>65.3</x:v>
      </x:c>
      <x:c r="Q60" s="16" t="n">
        <x:v>120</x:v>
      </x:c>
      <x:c r="R60" s="16" t="n">
        <x:v>64.6</x:v>
      </x:c>
      <x:c r="S60" s="16" t="n">
        <x:v>-9.899999999999999</x:v>
      </x:c>
      <x:c r="T60" s="18" t="n">
        <x:v>1</x:v>
      </x:c>
      <x:c r="U60" s="18" t="n">
        <x:v>1</x:v>
      </x:c>
      <x:c r="V60" s="16" t="n">
        <x:v>21.529999999999973</x:v>
      </x:c>
      <x:c r="W60" s="18" t="n">
        <x:v>16</x:v>
      </x:c>
      <x:c r="X60" s="12" t="str">
        <x:v>False</x:v>
      </x:c>
      <x:c r="Y60" s="16"/>
      <x:c r="Z60" s="18"/>
      <x:c r="AA60" s="12" t="str">
        <x:v>False</x:v>
      </x:c>
      <x:c r="AB60" s="12" t="str">
        <x:v>120 or above</x:v>
      </x:c>
      <x:c r="AC60" s="18" t="n">
        <x:v>793</x:v>
      </x:c>
      <x:c r="AD60" s="18" t="n">
        <x:v>796</x:v>
      </x:c>
      <x:c r="AE60" s="12" t="str"/>
      <x:c r="AF60" s="12" t="str">
        <x:v>review sampling criterion: first full-event gap&gt;3s</x:v>
      </x:c>
      <x:c r="AG60" s="18" t="n">
        <x:v>3895210</x:v>
      </x:c>
      <x:c r="AH60" s="18" t="n">
        <x:v>1</x:v>
      </x:c>
      <x:c r="AI60" s="18" t="n">
        <x:v>15</x:v>
      </x:c>
      <x:c r="AJ60" t="n">
        <x:v>1</x:v>
      </x:c>
    </x:row>
    <x:row r="61">
      <x:c r="A61" s="12" t="str">
        <x:v>C11</x:v>
      </x:c>
      <x:c r="B61" s="12" t="str">
        <x:v>C11_M06</x:v>
      </x:c>
      <x:c r="C61" s="12" t="str">
        <x:v>CONTINUE</x:v>
      </x:c>
      <x:c r="D61" s="18" t="n">
        <x:v>3</x:v>
      </x:c>
      <x:c r="E61" s="12" t="str">
        <x:v>LOCKED</x:v>
      </x:c>
      <x:c r="F61" s="12" t="str">
        <x:v>negative/control example</x:v>
      </x:c>
      <x:c r="G61" s="13" t="b">
        <x:v>0</x:v>
      </x:c>
      <x:c r="H61" s="13" t="b">
        <x:v>1</x:v>
      </x:c>
      <x:c r="I61" s="16"/>
      <x:c r="J61" s="18" t="n">
        <x:v>831</x:v>
      </x:c>
      <x:c r="K61" s="16" t="n">
        <x:v>43.55600000000004</x:v>
      </x:c>
      <x:c r="L61" s="12" t="str">
        <x:v>Carry</x:v>
      </x:c>
      <x:c r="M61" s="12" t="str">
        <x:v>Bayer Leverkusen</x:v>
      </x:c>
      <x:c r="N61" s="12"/>
      <x:c r="O61" s="16" t="n">
        <x:v>81.2</x:v>
      </x:c>
      <x:c r="P61" s="16" t="n">
        <x:v>80.3</x:v>
      </x:c>
      <x:c r="Q61" s="16" t="n">
        <x:v>120</x:v>
      </x:c>
      <x:c r="R61" s="16" t="n">
        <x:v>38.8</x:v>
      </x:c>
      <x:c r="S61" s="16" t="n">
        <x:v>-9.5</x:v>
      </x:c>
      <x:c r="T61" s="18"/>
      <x:c r="U61" s="18"/>
      <x:c r="V61" s="16" t="n">
        <x:v>43.55600000000004</x:v>
      </x:c>
      <x:c r="W61" s="18" t="n">
        <x:v>53</x:v>
      </x:c>
      <x:c r="X61" s="12" t="str">
        <x:v>False</x:v>
      </x:c>
      <x:c r="Y61" s="16"/>
      <x:c r="Z61" s="18"/>
      <x:c r="AA61" s="12" t="str">
        <x:v>False</x:v>
      </x:c>
      <x:c r="AB61" s="12" t="str">
        <x:v>120 or above</x:v>
      </x:c>
      <x:c r="AC61" s="18" t="n">
        <x:v>829</x:v>
      </x:c>
      <x:c r="AD61" s="18" t="n">
        <x:v>832</x:v>
      </x:c>
      <x:c r="AE61" s="12" t="str"/>
      <x:c r="AF61" s="12" t="str">
        <x:v>review sampling criterion: first negative-to-positive action turn</x:v>
      </x:c>
      <x:c r="AG61" s="18" t="n">
        <x:v>3895210</x:v>
      </x:c>
      <x:c r="AH61" s="18" t="n">
        <x:v>1</x:v>
      </x:c>
      <x:c r="AI61" s="18" t="n">
        <x:v>15</x:v>
      </x:c>
      <x:c r="AJ61" t="n">
        <x:v>0</x:v>
      </x:c>
    </x:row>
    <x:row r="62">
      <x:c r="A62" s="12" t="str">
        <x:v>C11</x:v>
      </x:c>
      <x:c r="B62" s="12" t="str">
        <x:v>C11_M07</x:v>
      </x:c>
      <x:c r="C62" s="12" t="str">
        <x:v>CLEAR_RESET</x:v>
      </x:c>
      <x:c r="D62" s="18" t="n">
        <x:v>3</x:v>
      </x:c>
      <x:c r="E62" s="12" t="str">
        <x:v>LOCKED</x:v>
      </x:c>
      <x:c r="F62" s="12" t="str">
        <x:v>confirmed reset evidence</x:v>
      </x:c>
      <x:c r="G62" s="13" t="b">
        <x:v>0</x:v>
      </x:c>
      <x:c r="H62" s="13" t="b">
        <x:v>1</x:v>
      </x:c>
      <x:c r="I62" s="16"/>
      <x:c r="J62" s="18" t="n">
        <x:v>853</x:v>
      </x:c>
      <x:c r="K62" s="16" t="n">
        <x:v>56.07600000000002</x:v>
      </x:c>
      <x:c r="L62" s="12" t="str">
        <x:v>Pass</x:v>
      </x:c>
      <x:c r="M62" s="12" t="str">
        <x:v>Bayer Leverkusen</x:v>
      </x:c>
      <x:c r="N62" s="12"/>
      <x:c r="O62" s="16" t="n">
        <x:v>29.8</x:v>
      </x:c>
      <x:c r="P62" s="16" t="n">
        <x:v>65</x:v>
      </x:c>
      <x:c r="Q62" s="16" t="n">
        <x:v>120</x:v>
      </x:c>
      <x:c r="R62" s="16" t="n">
        <x:v>90.2</x:v>
      </x:c>
      <x:c r="S62" s="16" t="n">
        <x:v>-35.2</x:v>
      </x:c>
      <x:c r="T62" s="18" t="n">
        <x:v>4</x:v>
      </x:c>
      <x:c r="U62" s="18" t="n">
        <x:v>4</x:v>
      </x:c>
      <x:c r="V62" s="16" t="n">
        <x:v>56.07600000000002</x:v>
      </x:c>
      <x:c r="W62" s="18" t="n">
        <x:v>75</x:v>
      </x:c>
      <x:c r="X62" s="12" t="str">
        <x:v>False</x:v>
      </x:c>
      <x:c r="Y62" s="16"/>
      <x:c r="Z62" s="18"/>
      <x:c r="AA62" s="12" t="str">
        <x:v>False</x:v>
      </x:c>
      <x:c r="AB62" s="12" t="str">
        <x:v>120 or above</x:v>
      </x:c>
      <x:c r="AC62" s="18" t="n">
        <x:v>851</x:v>
      </x:c>
      <x:c r="AD62" s="18" t="n">
        <x:v>864</x:v>
      </x:c>
      <x:c r="AE62" s="12" t="str"/>
      <x:c r="AF62" s="12" t="str">
        <x:v>review sampling criterion: single_negative&gt;=30</x:v>
      </x:c>
      <x:c r="AG62" s="18" t="n">
        <x:v>3895210</x:v>
      </x:c>
      <x:c r="AH62" s="18" t="n">
        <x:v>1</x:v>
      </x:c>
      <x:c r="AI62" s="18" t="n">
        <x:v>15</x:v>
      </x:c>
      <x:c r="AJ62" t="n">
        <x:v>0</x:v>
      </x:c>
    </x:row>
    <x:row r="63">
      <x:c r="A63" s="12" t="str">
        <x:v>C12</x:v>
      </x:c>
      <x:c r="B63" s="12" t="str">
        <x:v>C12_M02</x:v>
      </x:c>
      <x:c r="C63" s="12" t="str">
        <x:v>POSSIBLE_RESET</x:v>
      </x:c>
      <x:c r="D63" s="18" t="n">
        <x:v>2</x:v>
      </x:c>
      <x:c r="E63" s="12" t="str">
        <x:v>LOCKED</x:v>
      </x:c>
      <x:c r="F63" s="12" t="str">
        <x:v>warning evidence</x:v>
      </x:c>
      <x:c r="G63" s="13" t="b">
        <x:v>0</x:v>
      </x:c>
      <x:c r="H63" s="13" t="b">
        <x:v>0</x:v>
      </x:c>
      <x:c r="I63" s="16"/>
      <x:c r="J63" s="18" t="n">
        <x:v>2435</x:v>
      </x:c>
      <x:c r="K63" s="16" t="n">
        <x:v>2.147999999999911</x:v>
      </x:c>
      <x:c r="L63" s="12" t="str">
        <x:v>Shot</x:v>
      </x:c>
      <x:c r="M63" s="12" t="str">
        <x:v>Bayer Leverkusen</x:v>
      </x:c>
      <x:c r="N63" s="12"/>
      <x:c r="O63" s="16"/>
      <x:c r="P63" s="16"/>
      <x:c r="Q63" s="16" t="n">
        <x:v>120</x:v>
      </x:c>
      <x:c r="R63" s="16"/>
      <x:c r="S63" s="16" t="n">
        <x:v>-6.200000000000003</x:v>
      </x:c>
      <x:c r="T63" s="18"/>
      <x:c r="U63" s="18"/>
      <x:c r="V63" s="16" t="n">
        <x:v>2.147999999999911</x:v>
      </x:c>
      <x:c r="W63" s="18" t="n">
        <x:v>3</x:v>
      </x:c>
      <x:c r="X63" s="12"/>
      <x:c r="Y63" s="16"/>
      <x:c r="Z63" s="18"/>
      <x:c r="AA63" s="12"/>
      <x:c r="AB63" s="12" t="str">
        <x:v>120 or above</x:v>
      </x:c>
      <x:c r="AC63" s="18" t="n">
        <x:v>2432</x:v>
      </x:c>
      <x:c r="AD63" s="18" t="n">
        <x:v>2438</x:v>
      </x:c>
      <x:c r="AE63" s="12" t="str">
        <x:v>Shot/GK/clearance but no established opponent control.</x:v>
      </x:c>
      <x:c r="AF63" s="12" t="str">
        <x:v>review sampling criterion: literal football context</x:v>
      </x:c>
      <x:c r="AG63" s="18" t="n">
        <x:v>3895292</x:v>
      </x:c>
      <x:c r="AH63" s="18" t="n">
        <x:v>2</x:v>
      </x:c>
      <x:c r="AI63" s="18" t="n">
        <x:v>109</x:v>
      </x:c>
      <x:c r="AJ63" t="n">
        <x:v>0</x:v>
      </x:c>
    </x:row>
    <x:row r="64">
      <x:c r="A64" s="12" t="str">
        <x:v>C12</x:v>
      </x:c>
      <x:c r="B64" s="12" t="str">
        <x:v>C12_M03</x:v>
      </x:c>
      <x:c r="C64" s="12" t="str">
        <x:v>CLEAR_RESET</x:v>
      </x:c>
      <x:c r="D64" s="18" t="n">
        <x:v>3</x:v>
      </x:c>
      <x:c r="E64" s="12" t="str">
        <x:v>LOCKED</x:v>
      </x:c>
      <x:c r="F64" s="12" t="str">
        <x:v>confirmed reset evidence</x:v>
      </x:c>
      <x:c r="G64" s="13" t="b">
        <x:v>1</x:v>
      </x:c>
      <x:c r="H64" s="13" t="b">
        <x:v>0</x:v>
      </x:c>
      <x:c r="I64" s="16"/>
      <x:c r="J64" s="18" t="n">
        <x:v>2438</x:v>
      </x:c>
      <x:c r="K64" s="16" t="n">
        <x:v>6.1159999999999854</x:v>
      </x:c>
      <x:c r="L64" s="12" t="str">
        <x:v>Pass</x:v>
      </x:c>
      <x:c r="M64" s="12" t="str">
        <x:v>Bayer Leverkusen</x:v>
      </x:c>
      <x:c r="N64" s="12"/>
      <x:c r="O64" s="16" t="n">
        <x:v>73</x:v>
      </x:c>
      <x:c r="P64" s="16" t="n">
        <x:v>94.8</x:v>
      </x:c>
      <x:c r="Q64" s="16" t="n">
        <x:v>120</x:v>
      </x:c>
      <x:c r="R64" s="16" t="n">
        <x:v>47</x:v>
      </x:c>
      <x:c r="S64" s="16" t="n">
        <x:v>-21.799999999999997</x:v>
      </x:c>
      <x:c r="T64" s="18" t="n">
        <x:v>2</x:v>
      </x:c>
      <x:c r="U64" s="18" t="n">
        <x:v>2</x:v>
      </x:c>
      <x:c r="V64" s="16" t="n">
        <x:v>6.1159999999999854</x:v>
      </x:c>
      <x:c r="W64" s="18" t="n">
        <x:v>6</x:v>
      </x:c>
      <x:c r="X64" s="12" t="str">
        <x:v>False</x:v>
      </x:c>
      <x:c r="Y64" s="16"/>
      <x:c r="Z64" s="18"/>
      <x:c r="AA64" s="12" t="str">
        <x:v>False</x:v>
      </x:c>
      <x:c r="AB64" s="12" t="str">
        <x:v>120 or above</x:v>
      </x:c>
      <x:c r="AC64" s="18" t="n">
        <x:v>2432</x:v>
      </x:c>
      <x:c r="AD64" s="18" t="n">
        <x:v>2440</x:v>
      </x:c>
      <x:c r="AE64" s="12" t="str"/>
      <x:c r="AF64" s="12" t="str">
        <x:v>review sampling criterion: negative run&gt;=2; review sampling criterion: nonpositive run&gt;=2; review sampling criterion: peak_retreat&gt;=15; review sampling criterion: peak_retreat&gt;=30; review sampling criterion: peak_retreat&gt;=40; review sampling criterion: single_negative&gt;=15</x:v>
      </x:c>
      <x:c r="AG64" s="18" t="n">
        <x:v>3895292</x:v>
      </x:c>
      <x:c r="AH64" s="18" t="n">
        <x:v>2</x:v>
      </x:c>
      <x:c r="AI64" s="18" t="n">
        <x:v>109</x:v>
      </x:c>
      <x:c r="AJ64" t="n">
        <x:v>1</x:v>
      </x:c>
    </x:row>
    <x:row r="65">
      <x:c r="A65" s="12" t="str">
        <x:v>C12</x:v>
      </x:c>
      <x:c r="B65" s="12" t="str">
        <x:v>C12_M04</x:v>
      </x:c>
      <x:c r="C65" s="12" t="str">
        <x:v>CONTINUE</x:v>
      </x:c>
      <x:c r="D65" s="18" t="n">
        <x:v>3</x:v>
      </x:c>
      <x:c r="E65" s="12" t="str">
        <x:v>LOCKED</x:v>
      </x:c>
      <x:c r="F65" s="12" t="str">
        <x:v>negative/control example</x:v>
      </x:c>
      <x:c r="G65" s="13" t="b">
        <x:v>1</x:v>
      </x:c>
      <x:c r="H65" s="13" t="b">
        <x:v>0</x:v>
      </x:c>
      <x:c r="I65" s="16"/>
      <x:c r="J65" s="18" t="n">
        <x:v>2440</x:v>
      </x:c>
      <x:c r="K65" s="16" t="n">
        <x:v>8.227999999999952</x:v>
      </x:c>
      <x:c r="L65" s="12" t="str">
        <x:v>Carry</x:v>
      </x:c>
      <x:c r="M65" s="12" t="str">
        <x:v>Bayer Leverkusen</x:v>
      </x:c>
      <x:c r="N65" s="12"/>
      <x:c r="O65" s="16" t="n">
        <x:v>73.8</x:v>
      </x:c>
      <x:c r="P65" s="16" t="n">
        <x:v>73</x:v>
      </x:c>
      <x:c r="Q65" s="16" t="n">
        <x:v>120</x:v>
      </x:c>
      <x:c r="R65" s="16" t="n">
        <x:v>46.2</x:v>
      </x:c>
      <x:c r="S65" s="16" t="n">
        <x:v>-21.799999999999997</x:v>
      </x:c>
      <x:c r="T65" s="18"/>
      <x:c r="U65" s="18"/>
      <x:c r="V65" s="16" t="n">
        <x:v>8.227999999999952</x:v>
      </x:c>
      <x:c r="W65" s="18" t="n">
        <x:v>8</x:v>
      </x:c>
      <x:c r="X65" s="12" t="str">
        <x:v>False</x:v>
      </x:c>
      <x:c r="Y65" s="16"/>
      <x:c r="Z65" s="18"/>
      <x:c r="AA65" s="12" t="str">
        <x:v>False</x:v>
      </x:c>
      <x:c r="AB65" s="12" t="str">
        <x:v>120 or above</x:v>
      </x:c>
      <x:c r="AC65" s="18" t="n">
        <x:v>2438</x:v>
      </x:c>
      <x:c r="AD65" s="18" t="n">
        <x:v>2441</x:v>
      </x:c>
      <x:c r="AE65" s="12" t="str">
        <x:v>Rebuilt phase.</x:v>
      </x:c>
      <x:c r="AF65" s="12" t="str">
        <x:v>review sampling criterion: first negative-to-positive action turn</x:v>
      </x:c>
      <x:c r="AG65" s="18" t="n">
        <x:v>3895292</x:v>
      </x:c>
      <x:c r="AH65" s="18" t="n">
        <x:v>2</x:v>
      </x:c>
      <x:c r="AI65" s="18" t="n">
        <x:v>109</x:v>
      </x:c>
      <x:c r="AJ65" t="n">
        <x:v>1</x:v>
      </x:c>
    </x:row>
    <x:row r="66">
      <x:c r="A66" s="12" t="str">
        <x:v>C12</x:v>
      </x:c>
      <x:c r="B66" s="12" t="str">
        <x:v>C12_M05</x:v>
      </x:c>
      <x:c r="C66" s="12" t="str">
        <x:v>CONTINUE</x:v>
      </x:c>
      <x:c r="D66" s="18" t="n">
        <x:v>3</x:v>
      </x:c>
      <x:c r="E66" s="12" t="str">
        <x:v>LOCKED</x:v>
      </x:c>
      <x:c r="F66" s="12" t="str">
        <x:v>negative/control example</x:v>
      </x:c>
      <x:c r="G66" s="13" t="b">
        <x:v>0</x:v>
      </x:c>
      <x:c r="H66" s="13" t="b">
        <x:v>0</x:v>
      </x:c>
      <x:c r="I66" s="16"/>
      <x:c r="J66" s="18" t="n">
        <x:v>2450</x:v>
      </x:c>
      <x:c r="K66" s="16" t="n">
        <x:v>18.900999999999954</x:v>
      </x:c>
      <x:c r="L66" s="12" t="str">
        <x:v>Clearance</x:v>
      </x:c>
      <x:c r="M66" s="12" t="str">
        <x:v>Union Berlin</x:v>
      </x:c>
      <x:c r="N66" s="12"/>
      <x:c r="O66" s="16"/>
      <x:c r="P66" s="16"/>
      <x:c r="Q66" s="16" t="n">
        <x:v>120</x:v>
      </x:c>
      <x:c r="R66" s="16"/>
      <x:c r="S66" s="16" t="n">
        <x:v>0</x:v>
      </x:c>
      <x:c r="T66" s="18"/>
      <x:c r="U66" s="18"/>
      <x:c r="V66" s="16" t="n">
        <x:v>18.900999999999954</x:v>
      </x:c>
      <x:c r="W66" s="18" t="n">
        <x:v>18</x:v>
      </x:c>
      <x:c r="X66" s="12"/>
      <x:c r="Y66" s="16"/>
      <x:c r="Z66" s="18"/>
      <x:c r="AA66" s="12"/>
      <x:c r="AB66" s="12" t="str">
        <x:v>120 or above</x:v>
      </x:c>
      <x:c r="AC66" s="18" t="n">
        <x:v>2447</x:v>
      </x:c>
      <x:c r="AD66" s="18" t="n">
        <x:v>2452</x:v>
      </x:c>
      <x:c r="AE66" s="12" t="str">
        <x:v>Clearance without established opponent control.</x:v>
      </x:c>
      <x:c r="AF66" s="12" t="str">
        <x:v>review sampling criterion: first full-event gap&gt;3s</x:v>
      </x:c>
      <x:c r="AG66" s="18" t="n">
        <x:v>3895292</x:v>
      </x:c>
      <x:c r="AH66" s="18" t="n">
        <x:v>2</x:v>
      </x:c>
      <x:c r="AI66" s="18" t="n">
        <x:v>109</x:v>
      </x:c>
      <x:c r="AJ66" t="n">
        <x:v>0</x:v>
      </x:c>
    </x:row>
    <x:row r="67">
      <x:c r="A67" s="12" t="str">
        <x:v>C12</x:v>
      </x:c>
      <x:c r="B67" s="12" t="str">
        <x:v>C12_M06</x:v>
      </x:c>
      <x:c r="C67" s="12" t="str">
        <x:v>CLEAR_RESET</x:v>
      </x:c>
      <x:c r="D67" s="18" t="n">
        <x:v>3</x:v>
      </x:c>
      <x:c r="E67" s="12" t="str">
        <x:v>LOCKED</x:v>
      </x:c>
      <x:c r="F67" s="12" t="str">
        <x:v>confirmed reset evidence</x:v>
      </x:c>
      <x:c r="G67" s="13" t="b">
        <x:v>1</x:v>
      </x:c>
      <x:c r="H67" s="13" t="b">
        <x:v>0</x:v>
      </x:c>
      <x:c r="I67" s="16"/>
      <x:c r="J67" s="18" t="n">
        <x:v>2481</x:v>
      </x:c>
      <x:c r="K67" s="16" t="n">
        <x:v>54.358999999999924</x:v>
      </x:c>
      <x:c r="L67" s="12" t="str">
        <x:v>Pass</x:v>
      </x:c>
      <x:c r="M67" s="12" t="str">
        <x:v>Bayer Leverkusen</x:v>
      </x:c>
      <x:c r="N67" s="12"/>
      <x:c r="O67" s="16" t="n">
        <x:v>75.8</x:v>
      </x:c>
      <x:c r="P67" s="16" t="n">
        <x:v>80.4</x:v>
      </x:c>
      <x:c r="Q67" s="16" t="n">
        <x:v>120</x:v>
      </x:c>
      <x:c r="R67" s="16" t="n">
        <x:v>44.2</x:v>
      </x:c>
      <x:c r="S67" s="16" t="n">
        <x:v>-13.600000000000009</x:v>
      </x:c>
      <x:c r="T67" s="18" t="n">
        <x:v>4</x:v>
      </x:c>
      <x:c r="U67" s="18" t="n">
        <x:v>4</x:v>
      </x:c>
      <x:c r="V67" s="16" t="n">
        <x:v>54.358999999999924</x:v>
      </x:c>
      <x:c r="W67" s="18" t="n">
        <x:v>49</x:v>
      </x:c>
      <x:c r="X67" s="12" t="str">
        <x:v>False</x:v>
      </x:c>
      <x:c r="Y67" s="16"/>
      <x:c r="Z67" s="18"/>
      <x:c r="AA67" s="12" t="str">
        <x:v>False</x:v>
      </x:c>
      <x:c r="AB67" s="12" t="str">
        <x:v>120 or above</x:v>
      </x:c>
      <x:c r="AC67" s="18" t="n">
        <x:v>2480</x:v>
      </x:c>
      <x:c r="AD67" s="18" t="n">
        <x:v>2483</x:v>
      </x:c>
      <x:c r="AE67" s="12" t="str"/>
      <x:c r="AF67" s="12" t="str">
        <x:v>review sampling criterion: negative run&gt;=3</x:v>
      </x:c>
      <x:c r="AG67" s="18" t="n">
        <x:v>3895292</x:v>
      </x:c>
      <x:c r="AH67" s="18" t="n">
        <x:v>2</x:v>
      </x:c>
      <x:c r="AI67" s="18" t="n">
        <x:v>109</x:v>
      </x:c>
      <x:c r="AJ67" t="n">
        <x:v>1</x:v>
      </x:c>
    </x:row>
    <x:row r="68">
      <x:c r="A68" s="12" t="str">
        <x:v>C12</x:v>
      </x:c>
      <x:c r="B68" s="12" t="str">
        <x:v>C12_M07</x:v>
      </x:c>
      <x:c r="C68" s="12" t="str">
        <x:v>CLEAR_RESET</x:v>
      </x:c>
      <x:c r="D68" s="18" t="n">
        <x:v>3</x:v>
      </x:c>
      <x:c r="E68" s="12" t="str">
        <x:v>LOCKED</x:v>
      </x:c>
      <x:c r="F68" s="12" t="str">
        <x:v>confirmed reset evidence</x:v>
      </x:c>
      <x:c r="G68" s="13" t="b">
        <x:v>1</x:v>
      </x:c>
      <x:c r="H68" s="13" t="b">
        <x:v>0</x:v>
      </x:c>
      <x:c r="I68" s="16"/>
      <x:c r="J68" s="18" t="n">
        <x:v>2483</x:v>
      </x:c>
      <x:c r="K68" s="16" t="n">
        <x:v>55.233999999999924</x:v>
      </x:c>
      <x:c r="L68" s="12" t="str">
        <x:v>Carry</x:v>
      </x:c>
      <x:c r="M68" s="12" t="str">
        <x:v>Bayer Leverkusen</x:v>
      </x:c>
      <x:c r="N68" s="12"/>
      <x:c r="O68" s="16" t="n">
        <x:v>75.8</x:v>
      </x:c>
      <x:c r="P68" s="16" t="n">
        <x:v>75.8</x:v>
      </x:c>
      <x:c r="Q68" s="16" t="n">
        <x:v>120</x:v>
      </x:c>
      <x:c r="R68" s="16" t="n">
        <x:v>44.2</x:v>
      </x:c>
      <x:c r="S68" s="16" t="n">
        <x:v>-4.6000000000000085</x:v>
      </x:c>
      <x:c r="T68" s="18"/>
      <x:c r="U68" s="18" t="n">
        <x:v>5</x:v>
      </x:c>
      <x:c r="V68" s="16" t="n">
        <x:v>55.233999999999924</x:v>
      </x:c>
      <x:c r="W68" s="18" t="n">
        <x:v>51</x:v>
      </x:c>
      <x:c r="X68" s="12" t="str">
        <x:v>False</x:v>
      </x:c>
      <x:c r="Y68" s="16"/>
      <x:c r="Z68" s="18"/>
      <x:c r="AA68" s="12" t="str">
        <x:v>False</x:v>
      </x:c>
      <x:c r="AB68" s="12" t="str">
        <x:v>120 or above</x:v>
      </x:c>
      <x:c r="AC68" s="18" t="n">
        <x:v>2481</x:v>
      </x:c>
      <x:c r="AD68" s="18" t="n">
        <x:v>2484</x:v>
      </x:c>
      <x:c r="AE68" s="12" t="str">
        <x:v>Same established reset excursion.</x:v>
      </x:c>
      <x:c r="AF68" s="12" t="str">
        <x:v>review sampling criterion: nonpositive run&gt;=3</x:v>
      </x:c>
      <x:c r="AG68" s="18" t="n">
        <x:v>3895292</x:v>
      </x:c>
      <x:c r="AH68" s="18" t="n">
        <x:v>2</x:v>
      </x:c>
      <x:c r="AI68" s="18" t="n">
        <x:v>109</x:v>
      </x:c>
      <x:c r="AJ68" t="n">
        <x:v>1</x:v>
      </x:c>
    </x:row>
    <x:row r="69">
      <x:c r="A69" s="12" t="str">
        <x:v>C13</x:v>
      </x:c>
      <x:c r="B69" s="12" t="str">
        <x:v>C13_M01</x:v>
      </x:c>
      <x:c r="C69" s="12" t="str">
        <x:v>CONTINUE</x:v>
      </x:c>
      <x:c r="D69" s="18" t="n">
        <x:v>3</x:v>
      </x:c>
      <x:c r="E69" s="12" t="str">
        <x:v>LOCKED</x:v>
      </x:c>
      <x:c r="F69" s="12" t="str">
        <x:v>negative/control example</x:v>
      </x:c>
      <x:c r="G69" s="13" t="b">
        <x:v>0</x:v>
      </x:c>
      <x:c r="H69" s="13" t="b">
        <x:v>0</x:v>
      </x:c>
      <x:c r="I69" s="16"/>
      <x:c r="J69" s="18" t="n">
        <x:v>301</x:v>
      </x:c>
      <x:c r="K69" s="16" t="n">
        <x:v>8.441000000000031</x:v>
      </x:c>
      <x:c r="L69" s="12" t="str">
        <x:v>Pass</x:v>
      </x:c>
      <x:c r="M69" s="12" t="str">
        <x:v>Bayer Leverkusen</x:v>
      </x:c>
      <x:c r="N69" s="12"/>
      <x:c r="O69" s="16"/>
      <x:c r="P69" s="16"/>
      <x:c r="Q69" s="16"/>
      <x:c r="R69" s="16"/>
      <x:c r="S69" s="16"/>
      <x:c r="T69" s="18"/>
      <x:c r="U69" s="18"/>
      <x:c r="V69" s="16"/>
      <x:c r="W69" s="18"/>
      <x:c r="X69" s="12"/>
      <x:c r="Y69" s="16"/>
      <x:c r="Z69" s="18"/>
      <x:c r="AA69" s="12"/>
      <x:c r="AB69" s="12" t="str">
        <x:v>[0,30)</x:v>
      </x:c>
      <x:c r="AC69" s="18"/>
      <x:c r="AD69" s="18" t="n">
        <x:v>303</x:v>
      </x:c>
      <x:c r="AE69" s="12" t="str"/>
      <x:c r="AF69" s="12" t="str">
        <x:v>review sampling criterion: first full-event gap&gt;3s</x:v>
      </x:c>
      <x:c r="AG69" s="18" t="n">
        <x:v>3895052</x:v>
      </x:c>
      <x:c r="AH69" s="18" t="n">
        <x:v>1</x:v>
      </x:c>
      <x:c r="AI69" s="18" t="n">
        <x:v>17</x:v>
      </x:c>
      <x:c r="AJ69" t="n">
        <x:v>0</x:v>
      </x:c>
    </x:row>
    <x:row r="70">
      <x:c r="A70" s="12" t="str">
        <x:v>C13</x:v>
      </x:c>
      <x:c r="B70" s="12" t="str">
        <x:v>C13_M02</x:v>
      </x:c>
      <x:c r="C70" s="12" t="str">
        <x:v>CONTINUE</x:v>
      </x:c>
      <x:c r="D70" s="18" t="n">
        <x:v>3</x:v>
      </x:c>
      <x:c r="E70" s="12" t="str">
        <x:v>LOCKED</x:v>
      </x:c>
      <x:c r="F70" s="12" t="str">
        <x:v>negative/control example</x:v>
      </x:c>
      <x:c r="G70" s="13" t="b">
        <x:v>1</x:v>
      </x:c>
      <x:c r="H70" s="13" t="b">
        <x:v>0</x:v>
      </x:c>
      <x:c r="I70" s="16"/>
      <x:c r="J70" s="18" t="n">
        <x:v>308</x:v>
      </x:c>
      <x:c r="K70" s="16" t="n">
        <x:v>19.201000000000022</x:v>
      </x:c>
      <x:c r="L70" s="12" t="str">
        <x:v>Carry</x:v>
      </x:c>
      <x:c r="M70" s="12" t="str">
        <x:v>Bayer Leverkusen</x:v>
      </x:c>
      <x:c r="N70" s="12"/>
      <x:c r="O70" s="16" t="n">
        <x:v>43.8</x:v>
      </x:c>
      <x:c r="P70" s="16" t="n">
        <x:v>44.9</x:v>
      </x:c>
      <x:c r="Q70" s="16" t="n">
        <x:v>44.9</x:v>
      </x:c>
      <x:c r="R70" s="16" t="n">
        <x:v>1.1000000000000014</x:v>
      </x:c>
      <x:c r="S70" s="16" t="n">
        <x:v>-1.1000000000000014</x:v>
      </x:c>
      <x:c r="T70" s="18" t="n">
        <x:v>1</x:v>
      </x:c>
      <x:c r="U70" s="18" t="n">
        <x:v>1</x:v>
      </x:c>
      <x:c r="V70" s="16" t="n">
        <x:v>0</x:v>
      </x:c>
      <x:c r="W70" s="18" t="n">
        <x:v>0</x:v>
      </x:c>
      <x:c r="X70" s="12" t="str">
        <x:v>True</x:v>
      </x:c>
      <x:c r="Y70" s="16" t="n">
        <x:v>6.800000000000011</x:v>
      </x:c>
      <x:c r="Z70" s="18" t="n">
        <x:v>11</x:v>
      </x:c>
      <x:c r="AA70" s="12" t="str">
        <x:v>True</x:v>
      </x:c>
      <x:c r="AB70" s="12" t="str">
        <x:v>[0,30)</x:v>
      </x:c>
      <x:c r="AC70" s="18" t="n">
        <x:v>306</x:v>
      </x:c>
      <x:c r="AD70" s="18" t="n">
        <x:v>309</x:v>
      </x:c>
      <x:c r="AE70" s="12" t="str"/>
      <x:c r="AF70" s="12" t="str">
        <x:v>review sampling criterion: first negative vector (no magnitude minimum)</x:v>
      </x:c>
      <x:c r="AG70" s="18" t="n">
        <x:v>3895052</x:v>
      </x:c>
      <x:c r="AH70" s="18" t="n">
        <x:v>1</x:v>
      </x:c>
      <x:c r="AI70" s="18" t="n">
        <x:v>17</x:v>
      </x:c>
      <x:c r="AJ70" t="n">
        <x:v>1</x:v>
      </x:c>
    </x:row>
    <x:row r="71">
      <x:c r="A71" s="12" t="str">
        <x:v>C13</x:v>
      </x:c>
      <x:c r="B71" s="12" t="str">
        <x:v>C13_M03</x:v>
      </x:c>
      <x:c r="C71" s="12" t="str">
        <x:v>CONTINUE</x:v>
      </x:c>
      <x:c r="D71" s="18" t="n">
        <x:v>3</x:v>
      </x:c>
      <x:c r="E71" s="12" t="str">
        <x:v>LOCKED</x:v>
      </x:c>
      <x:c r="F71" s="12" t="str">
        <x:v>negative/control example</x:v>
      </x:c>
      <x:c r="G71" s="13" t="b">
        <x:v>1</x:v>
      </x:c>
      <x:c r="H71" s="13" t="b">
        <x:v>0</x:v>
      </x:c>
      <x:c r="I71" s="16"/>
      <x:c r="J71" s="18" t="n">
        <x:v>309</x:v>
      </x:c>
      <x:c r="K71" s="16" t="n">
        <x:v>19.281000000000006</x:v>
      </x:c>
      <x:c r="L71" s="12" t="str">
        <x:v>Pass</x:v>
      </x:c>
      <x:c r="M71" s="12" t="str">
        <x:v>Bayer Leverkusen</x:v>
      </x:c>
      <x:c r="N71" s="12"/>
      <x:c r="O71" s="16" t="n">
        <x:v>28.5</x:v>
      </x:c>
      <x:c r="P71" s="16" t="n">
        <x:v>43.8</x:v>
      </x:c>
      <x:c r="Q71" s="16" t="n">
        <x:v>44.9</x:v>
      </x:c>
      <x:c r="R71" s="16" t="n">
        <x:v>16.4</x:v>
      </x:c>
      <x:c r="S71" s="16" t="n">
        <x:v>-15.299999999999997</x:v>
      </x:c>
      <x:c r="T71" s="18" t="n">
        <x:v>2</x:v>
      </x:c>
      <x:c r="U71" s="18" t="n">
        <x:v>2</x:v>
      </x:c>
      <x:c r="V71" s="16" t="n">
        <x:v>0.07999999999998408</x:v>
      </x:c>
      <x:c r="W71" s="18" t="n">
        <x:v>1</x:v>
      </x:c>
      <x:c r="X71" s="12" t="str">
        <x:v>True</x:v>
      </x:c>
      <x:c r="Y71" s="16" t="n">
        <x:v>6.720000000000027</x:v>
      </x:c>
      <x:c r="Z71" s="18" t="n">
        <x:v>10</x:v>
      </x:c>
      <x:c r="AA71" s="12" t="str">
        <x:v>True</x:v>
      </x:c>
      <x:c r="AB71" s="12" t="str">
        <x:v>[0,30)</x:v>
      </x:c>
      <x:c r="AC71" s="18" t="n">
        <x:v>308</x:v>
      </x:c>
      <x:c r="AD71" s="18" t="n">
        <x:v>312</x:v>
      </x:c>
      <x:c r="AE71" s="12" t="str"/>
      <x:c r="AF71" s="12" t="str">
        <x:v>review sampling criterion: negative run&gt;=2; review sampling criterion: nonpositive run&gt;=2; review sampling criterion: peak_retreat&gt;=15; review sampling criterion: peak_retreat&gt;=5; review sampling criterion: single_negative&gt;=15; review sampling criterion: single_negative&gt;=5</x:v>
      </x:c>
      <x:c r="AG71" s="18" t="n">
        <x:v>3895052</x:v>
      </x:c>
      <x:c r="AH71" s="18" t="n">
        <x:v>1</x:v>
      </x:c>
      <x:c r="AI71" s="18" t="n">
        <x:v>17</x:v>
      </x:c>
      <x:c r="AJ71" t="n">
        <x:v>1</x:v>
      </x:c>
    </x:row>
    <x:row r="72">
      <x:c r="A72" s="12" t="str">
        <x:v>C13</x:v>
      </x:c>
      <x:c r="B72" s="12" t="str">
        <x:v>C13_M04</x:v>
      </x:c>
      <x:c r="C72" s="12" t="str">
        <x:v>CONTINUE</x:v>
      </x:c>
      <x:c r="D72" s="18" t="n">
        <x:v>3</x:v>
      </x:c>
      <x:c r="E72" s="12" t="str">
        <x:v>LOCKED</x:v>
      </x:c>
      <x:c r="F72" s="12" t="str">
        <x:v>negative/control example</x:v>
      </x:c>
      <x:c r="G72" s="13" t="b">
        <x:v>1</x:v>
      </x:c>
      <x:c r="H72" s="13" t="b">
        <x:v>0</x:v>
      </x:c>
      <x:c r="I72" s="16"/>
      <x:c r="J72" s="18" t="n">
        <x:v>312</x:v>
      </x:c>
      <x:c r="K72" s="16" t="n">
        <x:v>23.384000000000015</x:v>
      </x:c>
      <x:c r="L72" s="12" t="str">
        <x:v>Pass</x:v>
      </x:c>
      <x:c r="M72" s="12" t="str">
        <x:v>Bayer Leverkusen</x:v>
      </x:c>
      <x:c r="N72" s="12"/>
      <x:c r="O72" s="16" t="n">
        <x:v>41</x:v>
      </x:c>
      <x:c r="P72" s="16" t="n">
        <x:v>32.5</x:v>
      </x:c>
      <x:c r="Q72" s="16" t="n">
        <x:v>44.9</x:v>
      </x:c>
      <x:c r="R72" s="16" t="n">
        <x:v>3.8999999999999986</x:v>
      </x:c>
      <x:c r="S72" s="16" t="n">
        <x:v>-15.299999999999997</x:v>
      </x:c>
      <x:c r="T72" s="18"/>
      <x:c r="U72" s="18"/>
      <x:c r="V72" s="16" t="n">
        <x:v>4.182999999999993</x:v>
      </x:c>
      <x:c r="W72" s="18" t="n">
        <x:v>4</x:v>
      </x:c>
      <x:c r="X72" s="12" t="str">
        <x:v>True</x:v>
      </x:c>
      <x:c r="Y72" s="16" t="n">
        <x:v>2.6170000000000186</x:v>
      </x:c>
      <x:c r="Z72" s="18" t="n">
        <x:v>7</x:v>
      </x:c>
      <x:c r="AA72" s="12" t="str">
        <x:v>True</x:v>
      </x:c>
      <x:c r="AB72" s="12" t="str">
        <x:v>[0,30)</x:v>
      </x:c>
      <x:c r="AC72" s="18" t="n">
        <x:v>309</x:v>
      </x:c>
      <x:c r="AD72" s="18" t="n">
        <x:v>314</x:v>
      </x:c>
      <x:c r="AE72" s="12" t="str"/>
      <x:c r="AF72" s="12" t="str">
        <x:v>review sampling criterion: first negative-to-positive action turn</x:v>
      </x:c>
      <x:c r="AG72" s="18" t="n">
        <x:v>3895052</x:v>
      </x:c>
      <x:c r="AH72" s="18" t="n">
        <x:v>1</x:v>
      </x:c>
      <x:c r="AI72" s="18" t="n">
        <x:v>17</x:v>
      </x:c>
      <x:c r="AJ72" t="n">
        <x:v>1</x:v>
      </x:c>
    </x:row>
    <x:row r="73">
      <x:c r="A73" s="12" t="str">
        <x:v>C13</x:v>
      </x:c>
      <x:c r="B73" s="12" t="str">
        <x:v>C13_M05</x:v>
      </x:c>
      <x:c r="C73" s="12" t="str">
        <x:v>CONTINUE</x:v>
      </x:c>
      <x:c r="D73" s="18" t="n">
        <x:v>3</x:v>
      </x:c>
      <x:c r="E73" s="12" t="str">
        <x:v>LOCKED</x:v>
      </x:c>
      <x:c r="F73" s="12" t="str">
        <x:v>negative/control example</x:v>
      </x:c>
      <x:c r="G73" s="13" t="b">
        <x:v>1</x:v>
      </x:c>
      <x:c r="H73" s="13" t="b">
        <x:v>0</x:v>
      </x:c>
      <x:c r="I73" s="16"/>
      <x:c r="J73" s="18" t="n">
        <x:v>344</x:v>
      </x:c>
      <x:c r="K73" s="16" t="n">
        <x:v>42.185</x:v>
      </x:c>
      <x:c r="L73" s="12" t="str">
        <x:v>Carry</x:v>
      </x:c>
      <x:c r="M73" s="12" t="str">
        <x:v>Bayer Leverkusen</x:v>
      </x:c>
      <x:c r="N73" s="12"/>
      <x:c r="O73" s="16" t="n">
        <x:v>89.6</x:v>
      </x:c>
      <x:c r="P73" s="16" t="n">
        <x:v>83.7</x:v>
      </x:c>
      <x:c r="Q73" s="16" t="n">
        <x:v>89.6</x:v>
      </x:c>
      <x:c r="R73" s="16" t="n">
        <x:v>0</x:v>
      </x:c>
      <x:c r="S73" s="16" t="n">
        <x:v>-1.7000000000000028</x:v>
      </x:c>
      <x:c r="T73" s="18"/>
      <x:c r="U73" s="18"/>
      <x:c r="V73" s="16" t="n">
        <x:v>0</x:v>
      </x:c>
      <x:c r="W73" s="18" t="n">
        <x:v>0</x:v>
      </x:c>
      <x:c r="X73" s="12"/>
      <x:c r="Y73" s="16"/>
      <x:c r="Z73" s="18"/>
      <x:c r="AA73" s="12"/>
      <x:c r="AB73" s="12" t="str">
        <x:v>[0,30)</x:v>
      </x:c>
      <x:c r="AC73" s="18" t="n">
        <x:v>342</x:v>
      </x:c>
      <x:c r="AD73" s="18" t="n">
        <x:v>345</x:v>
      </x:c>
      <x:c r="AE73" s="12" t="str"/>
      <x:c r="AF73" s="12" t="str">
        <x:v>review sampling criterion: shortest/longest observed record-peak recovery</x:v>
      </x:c>
      <x:c r="AG73" s="18" t="n">
        <x:v>3895052</x:v>
      </x:c>
      <x:c r="AH73" s="18" t="n">
        <x:v>1</x:v>
      </x:c>
      <x:c r="AI73" s="18" t="n">
        <x:v>17</x:v>
      </x:c>
      <x:c r="AJ73" t="n">
        <x:v>1</x:v>
      </x:c>
    </x:row>
    <x:row r="74">
      <x:c r="A74" s="12" t="str">
        <x:v>C13</x:v>
      </x:c>
      <x:c r="B74" s="12" t="str">
        <x:v>C13_M06</x:v>
      </x:c>
      <x:c r="C74" s="12" t="str">
        <x:v>CONTINUE</x:v>
      </x:c>
      <x:c r="D74" s="18" t="n">
        <x:v>3</x:v>
      </x:c>
      <x:c r="E74" s="12" t="str">
        <x:v>LOCKED</x:v>
      </x:c>
      <x:c r="F74" s="12" t="str">
        <x:v>negative/control example</x:v>
      </x:c>
      <x:c r="G74" s="13" t="b">
        <x:v>0</x:v>
      </x:c>
      <x:c r="H74" s="13" t="b">
        <x:v>1</x:v>
      </x:c>
      <x:c r="I74" s="16"/>
      <x:c r="J74" s="18" t="n">
        <x:v>355</x:v>
      </x:c>
      <x:c r="K74" s="16" t="n">
        <x:v>48.92599999999999</x:v>
      </x:c>
      <x:c r="L74" s="12" t="str">
        <x:v>Pass</x:v>
      </x:c>
      <x:c r="M74" s="12" t="str">
        <x:v>Bayer Leverkusen</x:v>
      </x:c>
      <x:c r="N74" s="12"/>
      <x:c r="O74" s="16" t="n">
        <x:v>56.6</x:v>
      </x:c>
      <x:c r="P74" s="16" t="n">
        <x:v>73.9</x:v>
      </x:c>
      <x:c r="Q74" s="16" t="n">
        <x:v>89.6</x:v>
      </x:c>
      <x:c r="R74" s="16" t="n">
        <x:v>32.99999999999999</x:v>
      </x:c>
      <x:c r="S74" s="16" t="n">
        <x:v>-17.300000000000004</x:v>
      </x:c>
      <x:c r="T74" s="18" t="n">
        <x:v>2</x:v>
      </x:c>
      <x:c r="U74" s="18" t="n">
        <x:v>2</x:v>
      </x:c>
      <x:c r="V74" s="16" t="n">
        <x:v>6.7409999999999854</x:v>
      </x:c>
      <x:c r="W74" s="18" t="n">
        <x:v>11</x:v>
      </x:c>
      <x:c r="X74" s="12" t="str">
        <x:v>True</x:v>
      </x:c>
      <x:c r="Y74" s="16" t="n">
        <x:v>20.859000000000037</x:v>
      </x:c>
      <x:c r="Z74" s="18" t="n">
        <x:v>29</x:v>
      </x:c>
      <x:c r="AA74" s="12" t="str">
        <x:v>True</x:v>
      </x:c>
      <x:c r="AB74" s="12" t="str">
        <x:v>[0,30)</x:v>
      </x:c>
      <x:c r="AC74" s="18" t="n">
        <x:v>353</x:v>
      </x:c>
      <x:c r="AD74" s="18" t="n">
        <x:v>357</x:v>
      </x:c>
      <x:c r="AE74" s="12" t="str">
        <x:v>Inside new Leverkusen episode after opponent-control hard boundary.</x:v>
      </x:c>
      <x:c r="AF74" s="12" t="str">
        <x:v>review sampling criterion: peak_retreat&gt;=30</x:v>
      </x:c>
      <x:c r="AG74" s="18" t="n">
        <x:v>3895052</x:v>
      </x:c>
      <x:c r="AH74" s="18" t="n">
        <x:v>1</x:v>
      </x:c>
      <x:c r="AI74" s="18" t="n">
        <x:v>17</x:v>
      </x:c>
      <x:c r="AJ74" t="n">
        <x:v>0</x:v>
      </x:c>
    </x:row>
    <x:row r="75">
      <x:c r="A75" s="12" t="str">
        <x:v>C13</x:v>
      </x:c>
      <x:c r="B75" s="12" t="str">
        <x:v>C13_M07</x:v>
      </x:c>
      <x:c r="C75" s="12" t="str">
        <x:v>CONTINUE</x:v>
      </x:c>
      <x:c r="D75" s="18" t="n">
        <x:v>3</x:v>
      </x:c>
      <x:c r="E75" s="12" t="str">
        <x:v>LOCKED</x:v>
      </x:c>
      <x:c r="F75" s="12" t="str">
        <x:v>negative/control example</x:v>
      </x:c>
      <x:c r="G75" s="13" t="b">
        <x:v>0</x:v>
      </x:c>
      <x:c r="H75" s="13" t="b">
        <x:v>1</x:v>
      </x:c>
      <x:c r="I75" s="16"/>
      <x:c r="J75" s="18" t="n">
        <x:v>357</x:v>
      </x:c>
      <x:c r="K75" s="16" t="n">
        <x:v>50.41900000000004</x:v>
      </x:c>
      <x:c r="L75" s="12" t="str">
        <x:v>Carry</x:v>
      </x:c>
      <x:c r="M75" s="12" t="str">
        <x:v>Bayer Leverkusen</x:v>
      </x:c>
      <x:c r="N75" s="12"/>
      <x:c r="O75" s="16" t="n">
        <x:v>56.4</x:v>
      </x:c>
      <x:c r="P75" s="16" t="n">
        <x:v>56.6</x:v>
      </x:c>
      <x:c r="Q75" s="16" t="n">
        <x:v>89.6</x:v>
      </x:c>
      <x:c r="R75" s="16" t="n">
        <x:v>33.199999999999996</x:v>
      </x:c>
      <x:c r="S75" s="16" t="n">
        <x:v>-17.300000000000004</x:v>
      </x:c>
      <x:c r="T75" s="18" t="n">
        <x:v>3</x:v>
      </x:c>
      <x:c r="U75" s="18" t="n">
        <x:v>3</x:v>
      </x:c>
      <x:c r="V75" s="16" t="n">
        <x:v>8.234000000000037</x:v>
      </x:c>
      <x:c r="W75" s="18" t="n">
        <x:v>13</x:v>
      </x:c>
      <x:c r="X75" s="12" t="str">
        <x:v>True</x:v>
      </x:c>
      <x:c r="Y75" s="16" t="n">
        <x:v>19.365999999999985</x:v>
      </x:c>
      <x:c r="Z75" s="18" t="n">
        <x:v>27</x:v>
      </x:c>
      <x:c r="AA75" s="12" t="str">
        <x:v>True</x:v>
      </x:c>
      <x:c r="AB75" s="12" t="str">
        <x:v>[0,30)</x:v>
      </x:c>
      <x:c r="AC75" s="18" t="n">
        <x:v>355</x:v>
      </x:c>
      <x:c r="AD75" s="18" t="n">
        <x:v>358</x:v>
      </x:c>
      <x:c r="AE75" s="12" t="str">
        <x:v>Inside new Leverkusen episode after opponent-control hard boundary.</x:v>
      </x:c>
      <x:c r="AF75" s="12" t="str">
        <x:v>review sampling criterion: negative run&gt;=3; review sampling criterion: nonpositive run&gt;=3</x:v>
      </x:c>
      <x:c r="AG75" s="18" t="n">
        <x:v>3895052</x:v>
      </x:c>
      <x:c r="AH75" s="18" t="n">
        <x:v>1</x:v>
      </x:c>
      <x:c r="AI75" s="18" t="n">
        <x:v>17</x:v>
      </x:c>
      <x:c r="AJ75" t="n">
        <x:v>0</x:v>
      </x:c>
    </x:row>
    <x:row r="76">
      <x:c r="A76" s="12" t="str">
        <x:v>C13</x:v>
      </x:c>
      <x:c r="B76" s="12" t="str">
        <x:v>C13_M08</x:v>
      </x:c>
      <x:c r="C76" s="12" t="str">
        <x:v>CONTINUE</x:v>
      </x:c>
      <x:c r="D76" s="18" t="n">
        <x:v>3</x:v>
      </x:c>
      <x:c r="E76" s="12" t="str">
        <x:v>LOCKED</x:v>
      </x:c>
      <x:c r="F76" s="12" t="str">
        <x:v>negative/control example</x:v>
      </x:c>
      <x:c r="G76" s="13" t="b">
        <x:v>0</x:v>
      </x:c>
      <x:c r="H76" s="13" t="b">
        <x:v>1</x:v>
      </x:c>
      <x:c r="I76" s="16"/>
      <x:c r="J76" s="18" t="n">
        <x:v>384</x:v>
      </x:c>
      <x:c r="K76" s="16" t="n">
        <x:v>69.78500000000003</x:v>
      </x:c>
      <x:c r="L76" s="12" t="str">
        <x:v>Pass</x:v>
      </x:c>
      <x:c r="M76" s="12" t="str">
        <x:v>Bayer Leverkusen</x:v>
      </x:c>
      <x:c r="N76" s="12"/>
      <x:c r="O76" s="16" t="n">
        <x:v>98.2</x:v>
      </x:c>
      <x:c r="P76" s="16" t="n">
        <x:v>80.9</x:v>
      </x:c>
      <x:c r="Q76" s="16" t="n">
        <x:v>98.2</x:v>
      </x:c>
      <x:c r="R76" s="16" t="n">
        <x:v>0</x:v>
      </x:c>
      <x:c r="S76" s="16" t="n">
        <x:v>-3.5999999999999943</x:v>
      </x:c>
      <x:c r="T76" s="18"/>
      <x:c r="U76" s="18"/>
      <x:c r="V76" s="16" t="n">
        <x:v>0</x:v>
      </x:c>
      <x:c r="W76" s="18" t="n">
        <x:v>0</x:v>
      </x:c>
      <x:c r="X76" s="12"/>
      <x:c r="Y76" s="16"/>
      <x:c r="Z76" s="18"/>
      <x:c r="AA76" s="12"/>
      <x:c r="AB76" s="12" t="str">
        <x:v>[0,30)</x:v>
      </x:c>
      <x:c r="AC76" s="18" t="n">
        <x:v>383</x:v>
      </x:c>
      <x:c r="AD76" s="18"/>
      <x:c r="AE76" s="12" t="str">
        <x:v>Inside new Leverkusen episode after opponent-control hard boundary.</x:v>
      </x:c>
      <x:c r="AF76" s="12" t="str">
        <x:v>review sampling criterion: shortest/longest observed record-peak recovery</x:v>
      </x:c>
      <x:c r="AG76" s="18" t="n">
        <x:v>3895052</x:v>
      </x:c>
      <x:c r="AH76" s="18" t="n">
        <x:v>1</x:v>
      </x:c>
      <x:c r="AI76" s="18" t="n">
        <x:v>17</x:v>
      </x:c>
      <x:c r="AJ76" t="n">
        <x:v>0</x:v>
      </x:c>
    </x:row>
    <x:row r="77">
      <x:c r="A77" s="12" t="str">
        <x:v>C14</x:v>
      </x:c>
      <x:c r="B77" s="12" t="str">
        <x:v>C14_M01</x:v>
      </x:c>
      <x:c r="C77" s="12" t="str">
        <x:v>CONTINUE</x:v>
      </x:c>
      <x:c r="D77" s="18" t="n">
        <x:v>3</x:v>
      </x:c>
      <x:c r="E77" s="12" t="str">
        <x:v>LOCKED</x:v>
      </x:c>
      <x:c r="F77" s="12" t="str">
        <x:v>negative/control example</x:v>
      </x:c>
      <x:c r="G77" s="13" t="b">
        <x:v>0</x:v>
      </x:c>
      <x:c r="H77" s="13" t="b">
        <x:v>0</x:v>
      </x:c>
      <x:c r="I77" s="16"/>
      <x:c r="J77" s="18" t="n">
        <x:v>2436</x:v>
      </x:c>
      <x:c r="K77" s="16" t="n">
        <x:v>6.344000000000051</x:v>
      </x:c>
      <x:c r="L77" s="12" t="str">
        <x:v>Pass</x:v>
      </x:c>
      <x:c r="M77" s="12" t="str">
        <x:v>Bayer Leverkusen</x:v>
      </x:c>
      <x:c r="N77" s="12"/>
      <x:c r="O77" s="16"/>
      <x:c r="P77" s="16"/>
      <x:c r="Q77" s="16"/>
      <x:c r="R77" s="16"/>
      <x:c r="S77" s="16"/>
      <x:c r="T77" s="18"/>
      <x:c r="U77" s="18"/>
      <x:c r="V77" s="16"/>
      <x:c r="W77" s="18"/>
      <x:c r="X77" s="12"/>
      <x:c r="Y77" s="16"/>
      <x:c r="Z77" s="18"/>
      <x:c r="AA77" s="12"/>
      <x:c r="AB77" s="12" t="str">
        <x:v>[30,60)</x:v>
      </x:c>
      <x:c r="AC77" s="18"/>
      <x:c r="AD77" s="18" t="n">
        <x:v>2438</x:v>
      </x:c>
      <x:c r="AE77" s="12" t="str"/>
      <x:c r="AF77" s="12" t="str">
        <x:v>review sampling criterion: first full-event gap&gt;3s</x:v>
      </x:c>
      <x:c r="AG77" s="18" t="n">
        <x:v>3895052</x:v>
      </x:c>
      <x:c r="AH77" s="18" t="n">
        <x:v>2</x:v>
      </x:c>
      <x:c r="AI77" s="18" t="n">
        <x:v>120</x:v>
      </x:c>
      <x:c r="AJ77" t="n">
        <x:v>0</x:v>
      </x:c>
    </x:row>
    <x:row r="78">
      <x:c r="A78" s="12" t="str">
        <x:v>C14</x:v>
      </x:c>
      <x:c r="B78" s="12" t="str">
        <x:v>C14_M02</x:v>
      </x:c>
      <x:c r="C78" s="12" t="str">
        <x:v>CONTINUE</x:v>
      </x:c>
      <x:c r="D78" s="18" t="n">
        <x:v>3</x:v>
      </x:c>
      <x:c r="E78" s="12" t="str">
        <x:v>LOCKED</x:v>
      </x:c>
      <x:c r="F78" s="12" t="str">
        <x:v>negative/control example</x:v>
      </x:c>
      <x:c r="G78" s="13" t="b">
        <x:v>1</x:v>
      </x:c>
      <x:c r="H78" s="13" t="b">
        <x:v>0</x:v>
      </x:c>
      <x:c r="I78" s="16"/>
      <x:c r="J78" s="18" t="n">
        <x:v>2438</x:v>
      </x:c>
      <x:c r="K78" s="16" t="n">
        <x:v>10.720000000000027</x:v>
      </x:c>
      <x:c r="L78" s="12" t="str">
        <x:v>Pass</x:v>
      </x:c>
      <x:c r="M78" s="12" t="str">
        <x:v>Bayer Leverkusen</x:v>
      </x:c>
      <x:c r="N78" s="12"/>
      <x:c r="O78" s="16" t="n">
        <x:v>40.8</x:v>
      </x:c>
      <x:c r="P78" s="16" t="n">
        <x:v>42.8</x:v>
      </x:c>
      <x:c r="Q78" s="16" t="n">
        <x:v>42.8</x:v>
      </x:c>
      <x:c r="R78" s="16" t="n">
        <x:v>2</x:v>
      </x:c>
      <x:c r="S78" s="16" t="n">
        <x:v>-2</x:v>
      </x:c>
      <x:c r="T78" s="18" t="n">
        <x:v>1</x:v>
      </x:c>
      <x:c r="U78" s="18" t="n">
        <x:v>1</x:v>
      </x:c>
      <x:c r="V78" s="16" t="n">
        <x:v>0</x:v>
      </x:c>
      <x:c r="W78" s="18" t="n">
        <x:v>0</x:v>
      </x:c>
      <x:c r="X78" s="12" t="str">
        <x:v>True</x:v>
      </x:c>
      <x:c r="Y78" s="16" t="n">
        <x:v>1.5599999999999454</x:v>
      </x:c>
      <x:c r="Z78" s="18" t="n">
        <x:v>2</x:v>
      </x:c>
      <x:c r="AA78" s="12" t="str">
        <x:v>True</x:v>
      </x:c>
      <x:c r="AB78" s="12" t="str">
        <x:v>[30,60)</x:v>
      </x:c>
      <x:c r="AC78" s="18"/>
      <x:c r="AD78" s="18" t="n">
        <x:v>2440</x:v>
      </x:c>
      <x:c r="AE78" s="12" t="str"/>
      <x:c r="AF78" s="12" t="str">
        <x:v>review sampling criterion: first negative vector (no magnitude minimum)</x:v>
      </x:c>
      <x:c r="AG78" s="18" t="n">
        <x:v>3895052</x:v>
      </x:c>
      <x:c r="AH78" s="18" t="n">
        <x:v>2</x:v>
      </x:c>
      <x:c r="AI78" s="18" t="n">
        <x:v>120</x:v>
      </x:c>
      <x:c r="AJ78" t="n">
        <x:v>1</x:v>
      </x:c>
    </x:row>
    <x:row r="79">
      <x:c r="A79" s="12" t="str">
        <x:v>C14</x:v>
      </x:c>
      <x:c r="B79" s="12" t="str">
        <x:v>C14_M03</x:v>
      </x:c>
      <x:c r="C79" s="12" t="str">
        <x:v>CONTINUE</x:v>
      </x:c>
      <x:c r="D79" s="18" t="n">
        <x:v>3</x:v>
      </x:c>
      <x:c r="E79" s="12" t="str">
        <x:v>LOCKED</x:v>
      </x:c>
      <x:c r="F79" s="12" t="str">
        <x:v>negative/control example</x:v>
      </x:c>
      <x:c r="G79" s="13" t="b">
        <x:v>1</x:v>
      </x:c>
      <x:c r="H79" s="13" t="b">
        <x:v>0</x:v>
      </x:c>
      <x:c r="I79" s="16"/>
      <x:c r="J79" s="18" t="n">
        <x:v>2440</x:v>
      </x:c>
      <x:c r="K79" s="16" t="n">
        <x:v>12.279999999999973</x:v>
      </x:c>
      <x:c r="L79" s="12" t="str">
        <x:v>Carry</x:v>
      </x:c>
      <x:c r="M79" s="12" t="str">
        <x:v>Bayer Leverkusen</x:v>
      </x:c>
      <x:c r="N79" s="12"/>
      <x:c r="O79" s="16" t="n">
        <x:v>45.4</x:v>
      </x:c>
      <x:c r="P79" s="16" t="n">
        <x:v>40.8</x:v>
      </x:c>
      <x:c r="Q79" s="16" t="n">
        <x:v>45.4</x:v>
      </x:c>
      <x:c r="R79" s="16" t="n">
        <x:v>0</x:v>
      </x:c>
      <x:c r="S79" s="16" t="n">
        <x:v>-2</x:v>
      </x:c>
      <x:c r="T79" s="18"/>
      <x:c r="U79" s="18"/>
      <x:c r="V79" s="16" t="n">
        <x:v>0</x:v>
      </x:c>
      <x:c r="W79" s="18" t="n">
        <x:v>0</x:v>
      </x:c>
      <x:c r="X79" s="12"/>
      <x:c r="Y79" s="16"/>
      <x:c r="Z79" s="18"/>
      <x:c r="AA79" s="12"/>
      <x:c r="AB79" s="12" t="str">
        <x:v>[30,60)</x:v>
      </x:c>
      <x:c r="AC79" s="18" t="n">
        <x:v>2438</x:v>
      </x:c>
      <x:c r="AD79" s="18" t="n">
        <x:v>2441</x:v>
      </x:c>
      <x:c r="AE79" s="12" t="str"/>
      <x:c r="AF79" s="12" t="str">
        <x:v>review sampling criterion: first negative-to-positive action turn; review sampling criterion: shortest/longest observed record-peak recovery</x:v>
      </x:c>
      <x:c r="AG79" s="18" t="n">
        <x:v>3895052</x:v>
      </x:c>
      <x:c r="AH79" s="18" t="n">
        <x:v>2</x:v>
      </x:c>
      <x:c r="AI79" s="18" t="n">
        <x:v>120</x:v>
      </x:c>
      <x:c r="AJ79" t="n">
        <x:v>1</x:v>
      </x:c>
    </x:row>
    <x:row r="80">
      <x:c r="A80" s="12" t="str">
        <x:v>C14</x:v>
      </x:c>
      <x:c r="B80" s="12" t="str">
        <x:v>C14_M04</x:v>
      </x:c>
      <x:c r="C80" s="12" t="str">
        <x:v>CONTINUE</x:v>
      </x:c>
      <x:c r="D80" s="18" t="n">
        <x:v>3</x:v>
      </x:c>
      <x:c r="E80" s="12" t="str">
        <x:v>LOCKED</x:v>
      </x:c>
      <x:c r="F80" s="12" t="str">
        <x:v>negative/control example</x:v>
      </x:c>
      <x:c r="G80" s="13" t="b">
        <x:v>1</x:v>
      </x:c>
      <x:c r="H80" s="13" t="b">
        <x:v>0</x:v>
      </x:c>
      <x:c r="I80" s="16"/>
      <x:c r="J80" s="18" t="n">
        <x:v>2441</x:v>
      </x:c>
      <x:c r="K80" s="16" t="n">
        <x:v>24.741999999999962</x:v>
      </x:c>
      <x:c r="L80" s="12" t="str">
        <x:v>Pass</x:v>
      </x:c>
      <x:c r="M80" s="12" t="str">
        <x:v>Bayer Leverkusen</x:v>
      </x:c>
      <x:c r="N80" s="12"/>
      <x:c r="O80" s="16" t="n">
        <x:v>38.2</x:v>
      </x:c>
      <x:c r="P80" s="16" t="n">
        <x:v>45.4</x:v>
      </x:c>
      <x:c r="Q80" s="16" t="n">
        <x:v>45.4</x:v>
      </x:c>
      <x:c r="R80" s="16" t="n">
        <x:v>7.199999999999996</x:v>
      </x:c>
      <x:c r="S80" s="16" t="n">
        <x:v>-7.199999999999996</x:v>
      </x:c>
      <x:c r="T80" s="18" t="n">
        <x:v>1</x:v>
      </x:c>
      <x:c r="U80" s="18" t="n">
        <x:v>1</x:v>
      </x:c>
      <x:c r="V80" s="16" t="n">
        <x:v>0</x:v>
      </x:c>
      <x:c r="W80" s="18" t="n">
        <x:v>0</x:v>
      </x:c>
      <x:c r="X80" s="12" t="str">
        <x:v>True</x:v>
      </x:c>
      <x:c r="Y80" s="16" t="n">
        <x:v>6.442000000000007</x:v>
      </x:c>
      <x:c r="Z80" s="18" t="n">
        <x:v>3</x:v>
      </x:c>
      <x:c r="AA80" s="12" t="str">
        <x:v>True</x:v>
      </x:c>
      <x:c r="AB80" s="12" t="str">
        <x:v>[30,60)</x:v>
      </x:c>
      <x:c r="AC80" s="18" t="n">
        <x:v>2440</x:v>
      </x:c>
      <x:c r="AD80" s="18" t="n">
        <x:v>2443</x:v>
      </x:c>
      <x:c r="AE80" s="12" t="str"/>
      <x:c r="AF80" s="12" t="str">
        <x:v>review sampling criterion: first full-event gap&gt;10s; review sampling criterion: peak_retreat&gt;=5; review sampling criterion: single_negative&gt;=5</x:v>
      </x:c>
      <x:c r="AG80" s="18" t="n">
        <x:v>3895052</x:v>
      </x:c>
      <x:c r="AH80" s="18" t="n">
        <x:v>2</x:v>
      </x:c>
      <x:c r="AI80" s="18" t="n">
        <x:v>120</x:v>
      </x:c>
      <x:c r="AJ80" t="n">
        <x:v>1</x:v>
      </x:c>
    </x:row>
    <x:row r="81">
      <x:c r="A81" s="12" t="str">
        <x:v>C14</x:v>
      </x:c>
      <x:c r="B81" s="12" t="str">
        <x:v>C14_M05</x:v>
      </x:c>
      <x:c r="C81" s="12" t="str">
        <x:v>CONTINUE</x:v>
      </x:c>
      <x:c r="D81" s="18" t="n">
        <x:v>2</x:v>
      </x:c>
      <x:c r="E81" s="12" t="str">
        <x:v>LOCKED</x:v>
      </x:c>
      <x:c r="F81" s="12" t="str">
        <x:v>negative/control example</x:v>
      </x:c>
      <x:c r="G81" s="13" t="b">
        <x:v>1</x:v>
      </x:c>
      <x:c r="H81" s="13" t="b">
        <x:v>0</x:v>
      </x:c>
      <x:c r="I81" s="16"/>
      <x:c r="J81" s="18" t="n">
        <x:v>2447</x:v>
      </x:c>
      <x:c r="K81" s="16" t="n">
        <x:v>33.18799999999999</x:v>
      </x:c>
      <x:c r="L81" s="12" t="str">
        <x:v>Pass</x:v>
      </x:c>
      <x:c r="M81" s="12" t="str">
        <x:v>Bayer Leverkusen</x:v>
      </x:c>
      <x:c r="N81" s="12"/>
      <x:c r="O81" s="16" t="n">
        <x:v>34.7</x:v>
      </x:c>
      <x:c r="P81" s="16" t="n">
        <x:v>47.4</x:v>
      </x:c>
      <x:c r="Q81" s="16" t="n">
        <x:v>49.8</x:v>
      </x:c>
      <x:c r="R81" s="16" t="n">
        <x:v>15.099999999999994</x:v>
      </x:c>
      <x:c r="S81" s="16" t="n">
        <x:v>-12.699999999999996</x:v>
      </x:c>
      <x:c r="T81" s="18" t="n">
        <x:v>2</x:v>
      </x:c>
      <x:c r="U81" s="18" t="n">
        <x:v>2</x:v>
      </x:c>
      <x:c r="V81" s="16" t="n">
        <x:v>0.7459999999999809</x:v>
      </x:c>
      <x:c r="W81" s="18" t="n">
        <x:v>1</x:v>
      </x:c>
      <x:c r="X81" s="12" t="str">
        <x:v>True</x:v>
      </x:c>
      <x:c r="Y81" s="16" t="n">
        <x:v>8.051000000000045</x:v>
      </x:c>
      <x:c r="Z81" s="18" t="n">
        <x:v>8</x:v>
      </x:c>
      <x:c r="AA81" s="12" t="str">
        <x:v>True</x:v>
      </x:c>
      <x:c r="AB81" s="12" t="str">
        <x:v>[30,60)</x:v>
      </x:c>
      <x:c r="AC81" s="18" t="n">
        <x:v>2446</x:v>
      </x:c>
      <x:c r="AD81" s="18" t="n">
        <x:v>2449</x:v>
      </x:c>
      <x:c r="AE81" s="12" t="str">
        <x:v>Meaningful retreat but recovered.</x:v>
      </x:c>
      <x:c r="AF81" s="12" t="str">
        <x:v>review sampling criterion: negative run&gt;=2; review sampling criterion: nonpositive run&gt;=2; review sampling criterion: peak_retreat&gt;=15</x:v>
      </x:c>
      <x:c r="AG81" s="18" t="n">
        <x:v>3895052</x:v>
      </x:c>
      <x:c r="AH81" s="18" t="n">
        <x:v>2</x:v>
      </x:c>
      <x:c r="AI81" s="18" t="n">
        <x:v>120</x:v>
      </x:c>
      <x:c r="AJ81" t="n">
        <x:v>1</x:v>
      </x:c>
    </x:row>
    <x:row r="82">
      <x:c r="A82" s="12" t="str">
        <x:v>C14</x:v>
      </x:c>
      <x:c r="B82" s="12" t="str">
        <x:v>C14_M06</x:v>
      </x:c>
      <x:c r="C82" s="12" t="str">
        <x:v>CONTINUE</x:v>
      </x:c>
      <x:c r="D82" s="18" t="n">
        <x:v>3</x:v>
      </x:c>
      <x:c r="E82" s="12" t="str">
        <x:v>LOCKED</x:v>
      </x:c>
      <x:c r="F82" s="12" t="str">
        <x:v>negative/control example</x:v>
      </x:c>
      <x:c r="G82" s="13" t="b">
        <x:v>1</x:v>
      </x:c>
      <x:c r="H82" s="13" t="b">
        <x:v>0</x:v>
      </x:c>
      <x:c r="I82" s="16"/>
      <x:c r="J82" s="18" t="n">
        <x:v>2455</x:v>
      </x:c>
      <x:c r="K82" s="16" t="n">
        <x:v>41.23900000000003</x:v>
      </x:c>
      <x:c r="L82" s="12" t="str">
        <x:v>Carry</x:v>
      </x:c>
      <x:c r="M82" s="12" t="str">
        <x:v>Bayer Leverkusen</x:v>
      </x:c>
      <x:c r="N82" s="12"/>
      <x:c r="O82" s="16" t="n">
        <x:v>51</x:v>
      </x:c>
      <x:c r="P82" s="16" t="n">
        <x:v>48</x:v>
      </x:c>
      <x:c r="Q82" s="16" t="n">
        <x:v>51</x:v>
      </x:c>
      <x:c r="R82" s="16" t="n">
        <x:v>0</x:v>
      </x:c>
      <x:c r="S82" s="16" t="n">
        <x:v>-0.19999999999999574</x:v>
      </x:c>
      <x:c r="T82" s="18"/>
      <x:c r="U82" s="18"/>
      <x:c r="V82" s="16" t="n">
        <x:v>0</x:v>
      </x:c>
      <x:c r="W82" s="18" t="n">
        <x:v>0</x:v>
      </x:c>
      <x:c r="X82" s="12"/>
      <x:c r="Y82" s="16"/>
      <x:c r="Z82" s="18"/>
      <x:c r="AA82" s="12"/>
      <x:c r="AB82" s="12" t="str">
        <x:v>[30,60)</x:v>
      </x:c>
      <x:c r="AC82" s="18" t="n">
        <x:v>2453</x:v>
      </x:c>
      <x:c r="AD82" s="18" t="n">
        <x:v>2456</x:v>
      </x:c>
      <x:c r="AE82" s="12" t="str"/>
      <x:c r="AF82" s="12" t="str">
        <x:v>review sampling criterion: shortest/longest observed record-peak recovery</x:v>
      </x:c>
      <x:c r="AG82" s="18" t="n">
        <x:v>3895052</x:v>
      </x:c>
      <x:c r="AH82" s="18" t="n">
        <x:v>2</x:v>
      </x:c>
      <x:c r="AI82" s="18" t="n">
        <x:v>120</x:v>
      </x:c>
      <x:c r="AJ82" t="n">
        <x:v>1</x:v>
      </x:c>
    </x:row>
    <x:row r="83">
      <x:c r="A83" s="12" t="str">
        <x:v>C14</x:v>
      </x:c>
      <x:c r="B83" s="12" t="str">
        <x:v>C14_M07</x:v>
      </x:c>
      <x:c r="C83" s="12" t="str">
        <x:v>CONTINUE</x:v>
      </x:c>
      <x:c r="D83" s="18" t="n">
        <x:v>3</x:v>
      </x:c>
      <x:c r="E83" s="12" t="str">
        <x:v>LOCKED</x:v>
      </x:c>
      <x:c r="F83" s="12" t="str">
        <x:v>negative/control example</x:v>
      </x:c>
      <x:c r="G83" s="13" t="b">
        <x:v>1</x:v>
      </x:c>
      <x:c r="H83" s="13" t="b">
        <x:v>0</x:v>
      </x:c>
      <x:c r="I83" s="16"/>
      <x:c r="J83" s="18" t="n">
        <x:v>2461</x:v>
      </x:c>
      <x:c r="K83" s="16" t="n">
        <x:v>45.81600000000003</x:v>
      </x:c>
      <x:c r="L83" s="12" t="str">
        <x:v>Pass</x:v>
      </x:c>
      <x:c r="M83" s="12" t="str">
        <x:v>Bayer Leverkusen</x:v>
      </x:c>
      <x:c r="N83" s="12"/>
      <x:c r="O83" s="16" t="n">
        <x:v>44.8</x:v>
      </x:c>
      <x:c r="P83" s="16" t="n">
        <x:v>62.3</x:v>
      </x:c>
      <x:c r="Q83" s="16" t="n">
        <x:v>62.3</x:v>
      </x:c>
      <x:c r="R83" s="16" t="n">
        <x:v>17.5</x:v>
      </x:c>
      <x:c r="S83" s="16" t="n">
        <x:v>-17.5</x:v>
      </x:c>
      <x:c r="T83" s="18" t="n">
        <x:v>1</x:v>
      </x:c>
      <x:c r="U83" s="18" t="n">
        <x:v>1</x:v>
      </x:c>
      <x:c r="V83" s="16" t="n">
        <x:v>0</x:v>
      </x:c>
      <x:c r="W83" s="18" t="n">
        <x:v>0</x:v>
      </x:c>
      <x:c r="X83" s="12" t="str">
        <x:v>True</x:v>
      </x:c>
      <x:c r="Y83" s="16" t="n">
        <x:v>3.0779999999999745</x:v>
      </x:c>
      <x:c r="Z83" s="18" t="n">
        <x:v>5</x:v>
      </x:c>
      <x:c r="AA83" s="12" t="str">
        <x:v>True</x:v>
      </x:c>
      <x:c r="AB83" s="12" t="str">
        <x:v>[30,60)</x:v>
      </x:c>
      <x:c r="AC83" s="18" t="n">
        <x:v>2459</x:v>
      </x:c>
      <x:c r="AD83" s="18" t="n">
        <x:v>2463</x:v>
      </x:c>
      <x:c r="AE83" s="12" t="str"/>
      <x:c r="AF83" s="12" t="str">
        <x:v>review sampling criterion: single_negative&gt;=15</x:v>
      </x:c>
      <x:c r="AG83" s="18" t="n">
        <x:v>3895052</x:v>
      </x:c>
      <x:c r="AH83" s="18" t="n">
        <x:v>2</x:v>
      </x:c>
      <x:c r="AI83" s="18" t="n">
        <x:v>120</x:v>
      </x:c>
      <x:c r="AJ83" t="n">
        <x:v>1</x:v>
      </x:c>
    </x:row>
    <x:row r="84">
      <x:c r="A84" s="12" t="str">
        <x:v>C14</x:v>
      </x:c>
      <x:c r="B84" s="12" t="str">
        <x:v>C14_M08</x:v>
      </x:c>
      <x:c r="C84" s="12" t="str">
        <x:v>CONTINUE</x:v>
      </x:c>
      <x:c r="D84" s="18" t="n">
        <x:v>2</x:v>
      </x:c>
      <x:c r="E84" s="12" t="str">
        <x:v>LOCKED</x:v>
      </x:c>
      <x:c r="F84" s="12" t="str">
        <x:v>negative/control example</x:v>
      </x:c>
      <x:c r="G84" s="13" t="b">
        <x:v>0</x:v>
      </x:c>
      <x:c r="H84" s="13" t="b">
        <x:v>1</x:v>
      </x:c>
      <x:c r="I84" s="16"/>
      <x:c r="J84" s="18" t="n">
        <x:v>2503</x:v>
      </x:c>
      <x:c r="K84" s="16" t="n">
        <x:v>74.44799999999998</x:v>
      </x:c>
      <x:c r="L84" s="12" t="str">
        <x:v>Pass</x:v>
      </x:c>
      <x:c r="M84" s="12" t="str">
        <x:v>Bayer Leverkusen</x:v>
      </x:c>
      <x:c r="N84" s="12"/>
      <x:c r="O84" s="16" t="n">
        <x:v>80.1</x:v>
      </x:c>
      <x:c r="P84" s="16" t="n">
        <x:v>81.8</x:v>
      </x:c>
      <x:c r="Q84" s="16" t="n">
        <x:v>110.3</x:v>
      </x:c>
      <x:c r="R84" s="16" t="n">
        <x:v>30.200000000000003</x:v>
      </x:c>
      <x:c r="S84" s="16" t="n">
        <x:v>-7.200000000000003</x:v>
      </x:c>
      <x:c r="T84" s="18" t="n">
        <x:v>4</x:v>
      </x:c>
      <x:c r="U84" s="18" t="n">
        <x:v>4</x:v>
      </x:c>
      <x:c r="V84" s="16" t="n">
        <x:v>14.216999999999985</x:v>
      </x:c>
      <x:c r="W84" s="18" t="n">
        <x:v>26</x:v>
      </x:c>
      <x:c r="X84" s="12" t="str">
        <x:v>False</x:v>
      </x:c>
      <x:c r="Y84" s="16"/>
      <x:c r="Z84" s="18"/>
      <x:c r="AA84" s="12" t="str">
        <x:v>False</x:v>
      </x:c>
      <x:c r="AB84" s="12" t="str">
        <x:v>[30,60)</x:v>
      </x:c>
      <x:c r="AC84" s="18" t="n">
        <x:v>2502</x:v>
      </x:c>
      <x:c r="AD84" s="18" t="n">
        <x:v>2505</x:v>
      </x:c>
      <x:c r="AE84" s="12" t="str">
        <x:v>Reset-warning evidence; provider peak obsolete after hard boundary.</x:v>
      </x:c>
      <x:c r="AF84" s="12" t="str">
        <x:v>review sampling criterion: peak_retreat&gt;=30</x:v>
      </x:c>
      <x:c r="AG84" s="18" t="n">
        <x:v>3895052</x:v>
      </x:c>
      <x:c r="AH84" s="18" t="n">
        <x:v>2</x:v>
      </x:c>
      <x:c r="AI84" s="18" t="n">
        <x:v>120</x:v>
      </x:c>
      <x:c r="AJ84" t="n">
        <x:v>0</x:v>
      </x:c>
    </x:row>
    <x:row r="85">
      <x:c r="A85" s="12" t="str">
        <x:v>C14</x:v>
      </x:c>
      <x:c r="B85" s="12" t="str">
        <x:v>C14_M09</x:v>
      </x:c>
      <x:c r="C85" s="12" t="str">
        <x:v>POSSIBLE_RESET</x:v>
      </x:c>
      <x:c r="D85" s="18" t="n">
        <x:v>2</x:v>
      </x:c>
      <x:c r="E85" s="12" t="str">
        <x:v>LOCKED</x:v>
      </x:c>
      <x:c r="F85" s="12" t="str">
        <x:v>warning evidence</x:v>
      </x:c>
      <x:c r="G85" s="13" t="b">
        <x:v>0</x:v>
      </x:c>
      <x:c r="H85" s="13" t="b">
        <x:v>1</x:v>
      </x:c>
      <x:c r="I85" s="16" t="n">
        <x:v>21</x:v>
      </x:c>
      <x:c r="J85" s="18" t="n">
        <x:v>2506</x:v>
      </x:c>
      <x:c r="K85" s="16" t="n">
        <x:v>75.94500000000005</x:v>
      </x:c>
      <x:c r="L85" s="12" t="str">
        <x:v>Pass</x:v>
      </x:c>
      <x:c r="M85" s="12" t="str">
        <x:v>Bayer Leverkusen</x:v>
      </x:c>
      <x:c r="N85" s="12"/>
      <x:c r="O85" s="16" t="n">
        <x:v>69.1</x:v>
      </x:c>
      <x:c r="P85" s="16" t="n">
        <x:v>77.5</x:v>
      </x:c>
      <x:c r="Q85" s="16" t="n">
        <x:v>110.3</x:v>
      </x:c>
      <x:c r="R85" s="16" t="n">
        <x:v>41.2</x:v>
      </x:c>
      <x:c r="S85" s="16" t="n">
        <x:v>-8.400000000000006</x:v>
      </x:c>
      <x:c r="T85" s="18" t="n">
        <x:v>6</x:v>
      </x:c>
      <x:c r="U85" s="18" t="n">
        <x:v>6</x:v>
      </x:c>
      <x:c r="V85" s="16" t="n">
        <x:v>15.714000000000055</x:v>
      </x:c>
      <x:c r="W85" s="18" t="n">
        <x:v>29</x:v>
      </x:c>
      <x:c r="X85" s="12" t="str">
        <x:v>False</x:v>
      </x:c>
      <x:c r="Y85" s="16"/>
      <x:c r="Z85" s="18"/>
      <x:c r="AA85" s="12" t="str">
        <x:v>False</x:v>
      </x:c>
      <x:c r="AB85" s="12" t="str">
        <x:v>[30,60)</x:v>
      </x:c>
      <x:c r="AC85" s="18" t="n">
        <x:v>2505</x:v>
      </x:c>
      <x:c r="AD85" s="18" t="n">
        <x:v>2508</x:v>
      </x:c>
      <x:c r="AE85" s="12" t="str">
        <x:v>Episode-local retreat ~21 rather than provider-level 41.</x:v>
      </x:c>
      <x:c r="AF85" s="12" t="str">
        <x:v>review sampling criterion: negative run&gt;=3; review sampling criterion: nonpositive run&gt;=3; review sampling criterion: peak_retreat&gt;=40</x:v>
      </x:c>
      <x:c r="AG85" s="18" t="n">
        <x:v>3895052</x:v>
      </x:c>
      <x:c r="AH85" s="18" t="n">
        <x:v>2</x:v>
      </x:c>
      <x:c r="AI85" s="18" t="n">
        <x:v>120</x:v>
      </x:c>
      <x:c r="AJ85" t="n">
        <x:v>0</x:v>
      </x:c>
    </x:row>
    <x:row r="86">
      <x:c r="A86" s="12" t="str">
        <x:v>C15</x:v>
      </x:c>
      <x:c r="B86" s="12" t="str">
        <x:v>C15_M07</x:v>
      </x:c>
      <x:c r="C86" s="12" t="str">
        <x:v>POSSIBLE_RESET</x:v>
      </x:c>
      <x:c r="D86" s="18" t="n">
        <x:v>2</x:v>
      </x:c>
      <x:c r="E86" s="12" t="str">
        <x:v>PARTIAL_LOCK</x:v>
      </x:c>
      <x:c r="F86" s="12" t="str">
        <x:v>warning evidence</x:v>
      </x:c>
      <x:c r="G86" s="13" t="b">
        <x:v>1</x:v>
      </x:c>
      <x:c r="H86" s="13" t="b">
        <x:v>0</x:v>
      </x:c>
      <x:c r="I86" s="16"/>
      <x:c r="J86" s="18" t="n">
        <x:v>71</x:v>
      </x:c>
      <x:c r="K86" s="16" t="n">
        <x:v>55.08099999999999</x:v>
      </x:c>
      <x:c r="L86" s="12" t="str">
        <x:v>Pass</x:v>
      </x:c>
      <x:c r="M86" s="12" t="str">
        <x:v>Bayer Leverkusen</x:v>
      </x:c>
      <x:c r="N86" s="12"/>
      <x:c r="O86" s="16" t="n">
        <x:v>52.4</x:v>
      </x:c>
      <x:c r="P86" s="16" t="n">
        <x:v>63.5</x:v>
      </x:c>
      <x:c r="Q86" s="16" t="n">
        <x:v>84.7</x:v>
      </x:c>
      <x:c r="R86" s="16" t="n">
        <x:v>32.300000000000004</x:v>
      </x:c>
      <x:c r="S86" s="16" t="n">
        <x:v>-19</x:v>
      </x:c>
      <x:c r="T86" s="18" t="n">
        <x:v>4</x:v>
      </x:c>
      <x:c r="U86" s="18" t="n">
        <x:v>4</x:v>
      </x:c>
      <x:c r="V86" s="16" t="n">
        <x:v>9.012</x:v>
      </x:c>
      <x:c r="W86" s="18" t="n">
        <x:v>6</x:v>
      </x:c>
      <x:c r="X86" s="12" t="str">
        <x:v>True</x:v>
      </x:c>
      <x:c r="Y86" s="16" t="n">
        <x:v>6.962000000000003</x:v>
      </x:c>
      <x:c r="Z86" s="18" t="n">
        <x:v>11</x:v>
      </x:c>
      <x:c r="AA86" s="12" t="str">
        <x:v>True</x:v>
      </x:c>
      <x:c r="AB86" s="12" t="str">
        <x:v>[30,60)</x:v>
      </x:c>
      <x:c r="AC86" s="18" t="n">
        <x:v>70</x:v>
      </x:c>
      <x:c r="AD86" s="18" t="n">
        <x:v>73</x:v>
      </x:c>
      <x:c r="AE86" s="12" t="str">
        <x:v>Explicitly confirmed; other C15 proposals not treated as locked.</x:v>
      </x:c>
      <x:c r="AF86" s="12" t="str">
        <x:v>review sampling criterion: negative run&gt;=3; review sampling criterion: nonpositive run&gt;=3; review sampling criterion: peak_retreat&gt;=30</x:v>
      </x:c>
      <x:c r="AG86" s="18" t="n">
        <x:v>3895067</x:v>
      </x:c>
      <x:c r="AH86" s="18" t="n">
        <x:v>1</x:v>
      </x:c>
      <x:c r="AI86" s="18" t="n">
        <x:v>3</x:v>
      </x:c>
      <x:c r="AJ86" t="n">
        <x:v>1</x:v>
      </x:c>
    </x:row>
    <x:row r="87">
      <x:c r="A87" s="12" t="str">
        <x:v>C16</x:v>
      </x:c>
      <x:c r="B87" s="12" t="str">
        <x:v>C16_M01</x:v>
      </x:c>
      <x:c r="C87" s="12" t="str">
        <x:v>CONTINUE</x:v>
      </x:c>
      <x:c r="D87" s="18" t="n">
        <x:v>3</x:v>
      </x:c>
      <x:c r="E87" s="12" t="str">
        <x:v>LOCKED</x:v>
      </x:c>
      <x:c r="F87" s="12" t="str">
        <x:v>negative/control example</x:v>
      </x:c>
      <x:c r="G87" s="13" t="b">
        <x:v>0</x:v>
      </x:c>
      <x:c r="H87" s="13" t="b">
        <x:v>0</x:v>
      </x:c>
      <x:c r="I87" s="16"/>
      <x:c r="J87" s="18" t="n">
        <x:v>521</x:v>
      </x:c>
      <x:c r="K87" s="16" t="n">
        <x:v>8.46300000000008</x:v>
      </x:c>
      <x:c r="L87" s="12" t="str">
        <x:v>Pass</x:v>
      </x:c>
      <x:c r="M87" s="12" t="str">
        <x:v>Bayer Leverkusen</x:v>
      </x:c>
      <x:c r="N87" s="12"/>
      <x:c r="O87" s="16"/>
      <x:c r="P87" s="16"/>
      <x:c r="Q87" s="16" t="n">
        <x:v>65.6</x:v>
      </x:c>
      <x:c r="R87" s="16"/>
      <x:c r="S87" s="16" t="n">
        <x:v>0</x:v>
      </x:c>
      <x:c r="T87" s="18"/>
      <x:c r="U87" s="18"/>
      <x:c r="V87" s="16" t="n">
        <x:v>3.7770000000000437</x:v>
      </x:c>
      <x:c r="W87" s="18" t="n">
        <x:v>1</x:v>
      </x:c>
      <x:c r="X87" s="12"/>
      <x:c r="Y87" s="16"/>
      <x:c r="Z87" s="18"/>
      <x:c r="AA87" s="12"/>
      <x:c r="AB87" s="12" t="str">
        <x:v>[0,30)</x:v>
      </x:c>
      <x:c r="AC87" s="18" t="n">
        <x:v>520</x:v>
      </x:c>
      <x:c r="AD87" s="18" t="n">
        <x:v>523</x:v>
      </x:c>
      <x:c r="AE87" s="12" t="str"/>
      <x:c r="AF87" s="12" t="str">
        <x:v>review sampling criterion: first full-event gap&gt;3s</x:v>
      </x:c>
      <x:c r="AG87" s="18" t="n">
        <x:v>3895086</x:v>
      </x:c>
      <x:c r="AH87" s="18" t="n">
        <x:v>1</x:v>
      </x:c>
      <x:c r="AI87" s="18" t="n">
        <x:v>23</x:v>
      </x:c>
      <x:c r="AJ87" t="n">
        <x:v>0</x:v>
      </x:c>
    </x:row>
    <x:row r="88">
      <x:c r="A88" s="12" t="str">
        <x:v>C16</x:v>
      </x:c>
      <x:c r="B88" s="12" t="str">
        <x:v>C16_M02</x:v>
      </x:c>
      <x:c r="C88" s="12" t="str">
        <x:v>CONTINUE</x:v>
      </x:c>
      <x:c r="D88" s="18" t="n">
        <x:v>3</x:v>
      </x:c>
      <x:c r="E88" s="12" t="str">
        <x:v>LOCKED</x:v>
      </x:c>
      <x:c r="F88" s="12" t="str">
        <x:v>negative/control example</x:v>
      </x:c>
      <x:c r="G88" s="13" t="b">
        <x:v>1</x:v>
      </x:c>
      <x:c r="H88" s="13" t="b">
        <x:v>0</x:v>
      </x:c>
      <x:c r="I88" s="16"/>
      <x:c r="J88" s="18" t="n">
        <x:v>523</x:v>
      </x:c>
      <x:c r="K88" s="16" t="n">
        <x:v>9.423000000000002</x:v>
      </x:c>
      <x:c r="L88" s="12" t="str">
        <x:v>Carry</x:v>
      </x:c>
      <x:c r="M88" s="12" t="str">
        <x:v>Bayer Leverkusen</x:v>
      </x:c>
      <x:c r="N88" s="12"/>
      <x:c r="O88" s="16" t="n">
        <x:v>70.2</x:v>
      </x:c>
      <x:c r="P88" s="16" t="n">
        <x:v>62.5</x:v>
      </x:c>
      <x:c r="Q88" s="16" t="n">
        <x:v>70.2</x:v>
      </x:c>
      <x:c r="R88" s="16" t="n">
        <x:v>0</x:v>
      </x:c>
      <x:c r="S88" s="16" t="n">
        <x:v>0</x:v>
      </x:c>
      <x:c r="T88" s="18"/>
      <x:c r="U88" s="18"/>
      <x:c r="V88" s="16" t="n">
        <x:v>0</x:v>
      </x:c>
      <x:c r="W88" s="18" t="n">
        <x:v>0</x:v>
      </x:c>
      <x:c r="X88" s="12"/>
      <x:c r="Y88" s="16"/>
      <x:c r="Z88" s="18"/>
      <x:c r="AA88" s="12"/>
      <x:c r="AB88" s="12" t="str">
        <x:v>[0,30)</x:v>
      </x:c>
      <x:c r="AC88" s="18" t="n">
        <x:v>520</x:v>
      </x:c>
      <x:c r="AD88" s="18" t="n">
        <x:v>524</x:v>
      </x:c>
      <x:c r="AE88" s="12" t="str"/>
      <x:c r="AF88" s="12" t="str">
        <x:v>review sampling criterion: shortest/longest observed record-peak recovery</x:v>
      </x:c>
      <x:c r="AG88" s="18" t="n">
        <x:v>3895086</x:v>
      </x:c>
      <x:c r="AH88" s="18" t="n">
        <x:v>1</x:v>
      </x:c>
      <x:c r="AI88" s="18" t="n">
        <x:v>23</x:v>
      </x:c>
      <x:c r="AJ88" t="n">
        <x:v>1</x:v>
      </x:c>
    </x:row>
    <x:row r="89">
      <x:c r="A89" s="12" t="str">
        <x:v>C16</x:v>
      </x:c>
      <x:c r="B89" s="12" t="str">
        <x:v>C16_M03</x:v>
      </x:c>
      <x:c r="C89" s="12" t="str">
        <x:v>CONTINUE</x:v>
      </x:c>
      <x:c r="D89" s="18" t="n">
        <x:v>3</x:v>
      </x:c>
      <x:c r="E89" s="12" t="str">
        <x:v>LOCKED</x:v>
      </x:c>
      <x:c r="F89" s="12" t="str">
        <x:v>negative/control example</x:v>
      </x:c>
      <x:c r="G89" s="13" t="b">
        <x:v>0</x:v>
      </x:c>
      <x:c r="H89" s="13" t="b">
        <x:v>1</x:v>
      </x:c>
      <x:c r="I89" s="16"/>
      <x:c r="J89" s="18" t="n">
        <x:v>537</x:v>
      </x:c>
      <x:c r="K89" s="16" t="n">
        <x:v>21.697000000000003</x:v>
      </x:c>
      <x:c r="L89" s="12" t="str">
        <x:v>Carry</x:v>
      </x:c>
      <x:c r="M89" s="12" t="str">
        <x:v>Bayer Leverkusen</x:v>
      </x:c>
      <x:c r="N89" s="12"/>
      <x:c r="O89" s="16" t="n">
        <x:v>57.4</x:v>
      </x:c>
      <x:c r="P89" s="16" t="n">
        <x:v>56.9</x:v>
      </x:c>
      <x:c r="Q89" s="16" t="n">
        <x:v>85.5</x:v>
      </x:c>
      <x:c r="R89" s="16" t="n">
        <x:v>28.1</x:v>
      </x:c>
      <x:c r="S89" s="16" t="n">
        <x:v>0</x:v>
      </x:c>
      <x:c r="T89" s="18"/>
      <x:c r="U89" s="18"/>
      <x:c r="V89" s="16" t="n">
        <x:v>6.6059999999999945</x:v>
      </x:c>
      <x:c r="W89" s="18" t="n">
        <x:v>9</x:v>
      </x:c>
      <x:c r="X89" s="12" t="str">
        <x:v>True</x:v>
      </x:c>
      <x:c r="Y89" s="16" t="n">
        <x:v>96.63800000000003</x:v>
      </x:c>
      <x:c r="Z89" s="18" t="n">
        <x:v>103</x:v>
      </x:c>
      <x:c r="AA89" s="12" t="str">
        <x:v>True</x:v>
      </x:c>
      <x:c r="AB89" s="12" t="str">
        <x:v>[0,30)</x:v>
      </x:c>
      <x:c r="AC89" s="18" t="n">
        <x:v>534</x:v>
      </x:c>
      <x:c r="AD89" s="18" t="n">
        <x:v>538</x:v>
      </x:c>
      <x:c r="AE89" s="12" t="str">
        <x:v>New episode after early opponent-control hard boundary.</x:v>
      </x:c>
      <x:c r="AF89" s="12" t="str">
        <x:v>review sampling criterion: peak_retreat&gt;=15; review sampling criterion: peak_retreat&gt;=5</x:v>
      </x:c>
      <x:c r="AG89" s="18" t="n">
        <x:v>3895086</x:v>
      </x:c>
      <x:c r="AH89" s="18" t="n">
        <x:v>1</x:v>
      </x:c>
      <x:c r="AI89" s="18" t="n">
        <x:v>23</x:v>
      </x:c>
      <x:c r="AJ89" t="n">
        <x:v>0</x:v>
      </x:c>
    </x:row>
    <x:row r="90">
      <x:c r="A90" s="12" t="str">
        <x:v>C16</x:v>
      </x:c>
      <x:c r="B90" s="12" t="str">
        <x:v>C16_M04</x:v>
      </x:c>
      <x:c r="C90" s="12" t="str">
        <x:v>CONTINUE</x:v>
      </x:c>
      <x:c r="D90" s="18" t="n">
        <x:v>3</x:v>
      </x:c>
      <x:c r="E90" s="12" t="str">
        <x:v>LOCKED</x:v>
      </x:c>
      <x:c r="F90" s="12" t="str">
        <x:v>negative/control example</x:v>
      </x:c>
      <x:c r="G90" s="13" t="b">
        <x:v>0</x:v>
      </x:c>
      <x:c r="H90" s="13" t="b">
        <x:v>1</x:v>
      </x:c>
      <x:c r="I90" s="16"/>
      <x:c r="J90" s="18" t="n">
        <x:v>540</x:v>
      </x:c>
      <x:c r="K90" s="16" t="n">
        <x:v>23.578000000000088</x:v>
      </x:c>
      <x:c r="L90" s="12" t="str">
        <x:v>Carry</x:v>
      </x:c>
      <x:c r="M90" s="12" t="str">
        <x:v>Bayer Leverkusen</x:v>
      </x:c>
      <x:c r="N90" s="12"/>
      <x:c r="O90" s="16" t="n">
        <x:v>61.8</x:v>
      </x:c>
      <x:c r="P90" s="16" t="n">
        <x:v>64</x:v>
      </x:c>
      <x:c r="Q90" s="16" t="n">
        <x:v>85.5</x:v>
      </x:c>
      <x:c r="R90" s="16" t="n">
        <x:v>23.700000000000003</x:v>
      </x:c>
      <x:c r="S90" s="16" t="n">
        <x:v>-2.200000000000003</x:v>
      </x:c>
      <x:c r="T90" s="18" t="n">
        <x:v>1</x:v>
      </x:c>
      <x:c r="U90" s="18" t="n">
        <x:v>1</x:v>
      </x:c>
      <x:c r="V90" s="16" t="n">
        <x:v>8.48700000000008</x:v>
      </x:c>
      <x:c r="W90" s="18" t="n">
        <x:v>12</x:v>
      </x:c>
      <x:c r="X90" s="12" t="str">
        <x:v>True</x:v>
      </x:c>
      <x:c r="Y90" s="16" t="n">
        <x:v>94.75699999999995</x:v>
      </x:c>
      <x:c r="Z90" s="18" t="n">
        <x:v>100</x:v>
      </x:c>
      <x:c r="AA90" s="12" t="str">
        <x:v>True</x:v>
      </x:c>
      <x:c r="AB90" s="12" t="str">
        <x:v>[0,30)</x:v>
      </x:c>
      <x:c r="AC90" s="18" t="n">
        <x:v>538</x:v>
      </x:c>
      <x:c r="AD90" s="18" t="n">
        <x:v>541</x:v>
      </x:c>
      <x:c r="AE90" s="12" t="str"/>
      <x:c r="AF90" s="12" t="str">
        <x:v>review sampling criterion: first negative vector (no magnitude minimum)</x:v>
      </x:c>
      <x:c r="AG90" s="18" t="n">
        <x:v>3895086</x:v>
      </x:c>
      <x:c r="AH90" s="18" t="n">
        <x:v>1</x:v>
      </x:c>
      <x:c r="AI90" s="18" t="n">
        <x:v>23</x:v>
      </x:c>
      <x:c r="AJ90" t="n">
        <x:v>0</x:v>
      </x:c>
    </x:row>
    <x:row r="91">
      <x:c r="A91" s="12" t="str">
        <x:v>C16</x:v>
      </x:c>
      <x:c r="B91" s="12" t="str">
        <x:v>C16_M05</x:v>
      </x:c>
      <x:c r="C91" s="12" t="str">
        <x:v>POSSIBLE_RESET</x:v>
      </x:c>
      <x:c r="D91" s="18" t="n">
        <x:v>2</x:v>
      </x:c>
      <x:c r="E91" s="12" t="str">
        <x:v>LOCKED</x:v>
      </x:c>
      <x:c r="F91" s="12" t="str">
        <x:v>warning evidence</x:v>
      </x:c>
      <x:c r="G91" s="13" t="b">
        <x:v>0</x:v>
      </x:c>
      <x:c r="H91" s="13" t="b">
        <x:v>1</x:v>
      </x:c>
      <x:c r="I91" s="16"/>
      <x:c r="J91" s="18" t="n">
        <x:v>541</x:v>
      </x:c>
      <x:c r="K91" s="16" t="n">
        <x:v>25.578000000000088</x:v>
      </x:c>
      <x:c r="L91" s="12" t="str">
        <x:v>Pass</x:v>
      </x:c>
      <x:c r="M91" s="12" t="str">
        <x:v>Bayer Leverkusen</x:v>
      </x:c>
      <x:c r="N91" s="12"/>
      <x:c r="O91" s="16" t="n">
        <x:v>51.5</x:v>
      </x:c>
      <x:c r="P91" s="16" t="n">
        <x:v>61.8</x:v>
      </x:c>
      <x:c r="Q91" s="16" t="n">
        <x:v>85.5</x:v>
      </x:c>
      <x:c r="R91" s="16" t="n">
        <x:v>34</x:v>
      </x:c>
      <x:c r="S91" s="16" t="n">
        <x:v>-10.299999999999997</x:v>
      </x:c>
      <x:c r="T91" s="18" t="n">
        <x:v>2</x:v>
      </x:c>
      <x:c r="U91" s="18" t="n">
        <x:v>2</x:v>
      </x:c>
      <x:c r="V91" s="16" t="n">
        <x:v>10.48700000000008</x:v>
      </x:c>
      <x:c r="W91" s="18" t="n">
        <x:v>13</x:v>
      </x:c>
      <x:c r="X91" s="12" t="str">
        <x:v>True</x:v>
      </x:c>
      <x:c r="Y91" s="16" t="n">
        <x:v>92.75699999999995</x:v>
      </x:c>
      <x:c r="Z91" s="18" t="n">
        <x:v>99</x:v>
      </x:c>
      <x:c r="AA91" s="12" t="str">
        <x:v>True</x:v>
      </x:c>
      <x:c r="AB91" s="12" t="str">
        <x:v>[0,30)</x:v>
      </x:c>
      <x:c r="AC91" s="18" t="n">
        <x:v>540</x:v>
      </x:c>
      <x:c r="AD91" s="18" t="n">
        <x:v>543</x:v>
      </x:c>
      <x:c r="AE91" s="12" t="str"/>
      <x:c r="AF91" s="12" t="str">
        <x:v>review sampling criterion: peak_retreat&gt;=30; review sampling criterion: single_negative&gt;=5</x:v>
      </x:c>
      <x:c r="AG91" s="18" t="n">
        <x:v>3895086</x:v>
      </x:c>
      <x:c r="AH91" s="18" t="n">
        <x:v>1</x:v>
      </x:c>
      <x:c r="AI91" s="18" t="n">
        <x:v>23</x:v>
      </x:c>
      <x:c r="AJ91" t="n">
        <x:v>0</x:v>
      </x:c>
    </x:row>
    <x:row r="92">
      <x:c r="A92" s="12" t="str">
        <x:v>C16</x:v>
      </x:c>
      <x:c r="B92" s="12" t="str">
        <x:v>C16_M06</x:v>
      </x:c>
      <x:c r="C92" s="12" t="str">
        <x:v>POSSIBLE_RESET</x:v>
      </x:c>
      <x:c r="D92" s="18" t="n">
        <x:v>2</x:v>
      </x:c>
      <x:c r="E92" s="12" t="str">
        <x:v>LOCKED</x:v>
      </x:c>
      <x:c r="F92" s="12" t="str">
        <x:v>warning evidence</x:v>
      </x:c>
      <x:c r="G92" s="13" t="b">
        <x:v>0</x:v>
      </x:c>
      <x:c r="H92" s="13" t="b">
        <x:v>1</x:v>
      </x:c>
      <x:c r="I92" s="16" t="n">
        <x:v>14</x:v>
      </x:c>
      <x:c r="J92" s="18" t="n">
        <x:v>543</x:v>
      </x:c>
      <x:c r="K92" s="16" t="n">
        <x:v>26.293999999999983</x:v>
      </x:c>
      <x:c r="L92" s="12" t="str">
        <x:v>Carry</x:v>
      </x:c>
      <x:c r="M92" s="12" t="str">
        <x:v>Bayer Leverkusen</x:v>
      </x:c>
      <x:c r="N92" s="12"/>
      <x:c r="O92" s="16" t="n">
        <x:v>49.9</x:v>
      </x:c>
      <x:c r="P92" s="16" t="n">
        <x:v>51.5</x:v>
      </x:c>
      <x:c r="Q92" s="16" t="n">
        <x:v>85.5</x:v>
      </x:c>
      <x:c r="R92" s="16" t="n">
        <x:v>35.6</x:v>
      </x:c>
      <x:c r="S92" s="16" t="n">
        <x:v>-10.299999999999997</x:v>
      </x:c>
      <x:c r="T92" s="18" t="n">
        <x:v>3</x:v>
      </x:c>
      <x:c r="U92" s="18" t="n">
        <x:v>3</x:v>
      </x:c>
      <x:c r="V92" s="16" t="n">
        <x:v>11.202999999999975</x:v>
      </x:c>
      <x:c r="W92" s="18" t="n">
        <x:v>15</x:v>
      </x:c>
      <x:c r="X92" s="12" t="str">
        <x:v>True</x:v>
      </x:c>
      <x:c r="Y92" s="16" t="n">
        <x:v>92.04100000000005</x:v>
      </x:c>
      <x:c r="Z92" s="18" t="n">
        <x:v>97</x:v>
      </x:c>
      <x:c r="AA92" s="12" t="str">
        <x:v>True</x:v>
      </x:c>
      <x:c r="AB92" s="12" t="str">
        <x:v>[0,30)</x:v>
      </x:c>
      <x:c r="AC92" s="18" t="n">
        <x:v>541</x:v>
      </x:c>
      <x:c r="AD92" s="18" t="n">
        <x:v>544</x:v>
      </x:c>
      <x:c r="AE92" s="12" t="str">
        <x:v>Same retreat excursion.</x:v>
      </x:c>
      <x:c r="AF92" s="12" t="str">
        <x:v>review sampling criterion: negative run&gt;=2; review sampling criterion: negative run&gt;=3; review sampling criterion: nonpositive run&gt;=2; review sampling criterion: nonpositive run&gt;=3</x:v>
      </x:c>
      <x:c r="AG92" s="18" t="n">
        <x:v>3895086</x:v>
      </x:c>
      <x:c r="AH92" s="18" t="n">
        <x:v>1</x:v>
      </x:c>
      <x:c r="AI92" s="18" t="n">
        <x:v>23</x:v>
      </x:c>
      <x:c r="AJ92" t="n">
        <x:v>0</x:v>
      </x:c>
    </x:row>
    <x:row r="93">
      <x:c r="A93" s="12" t="str">
        <x:v>C16</x:v>
      </x:c>
      <x:c r="B93" s="12" t="str">
        <x:v>C16_M07</x:v>
      </x:c>
      <x:c r="C93" s="12" t="str">
        <x:v>CONTINUE</x:v>
      </x:c>
      <x:c r="D93" s="18" t="n">
        <x:v>3</x:v>
      </x:c>
      <x:c r="E93" s="12" t="str">
        <x:v>LOCKED</x:v>
      </x:c>
      <x:c r="F93" s="12" t="str">
        <x:v>negative/control example</x:v>
      </x:c>
      <x:c r="G93" s="13" t="b">
        <x:v>0</x:v>
      </x:c>
      <x:c r="H93" s="13" t="b">
        <x:v>1</x:v>
      </x:c>
      <x:c r="I93" s="16"/>
      <x:c r="J93" s="18" t="n">
        <x:v>544</x:v>
      </x:c>
      <x:c r="K93" s="16" t="n">
        <x:v>26.883000000000038</x:v>
      </x:c>
      <x:c r="L93" s="12" t="str">
        <x:v>Pass</x:v>
      </x:c>
      <x:c r="M93" s="12" t="str">
        <x:v>Bayer Leverkusen</x:v>
      </x:c>
      <x:c r="N93" s="12"/>
      <x:c r="O93" s="16" t="n">
        <x:v>50.2</x:v>
      </x:c>
      <x:c r="P93" s="16" t="n">
        <x:v>49.9</x:v>
      </x:c>
      <x:c r="Q93" s="16" t="n">
        <x:v>85.5</x:v>
      </x:c>
      <x:c r="R93" s="16" t="n">
        <x:v>35.3</x:v>
      </x:c>
      <x:c r="S93" s="16" t="n">
        <x:v>-10.299999999999997</x:v>
      </x:c>
      <x:c r="T93" s="18"/>
      <x:c r="U93" s="18"/>
      <x:c r="V93" s="16" t="n">
        <x:v>11.79200000000003</x:v>
      </x:c>
      <x:c r="W93" s="18" t="n">
        <x:v>16</x:v>
      </x:c>
      <x:c r="X93" s="12" t="str">
        <x:v>True</x:v>
      </x:c>
      <x:c r="Y93" s="16" t="n">
        <x:v>91.452</x:v>
      </x:c>
      <x:c r="Z93" s="18" t="n">
        <x:v>96</x:v>
      </x:c>
      <x:c r="AA93" s="12" t="str">
        <x:v>True</x:v>
      </x:c>
      <x:c r="AB93" s="12" t="str">
        <x:v>[0,30)</x:v>
      </x:c>
      <x:c r="AC93" s="18" t="n">
        <x:v>543</x:v>
      </x:c>
      <x:c r="AD93" s="18" t="n">
        <x:v>546</x:v>
      </x:c>
      <x:c r="AE93" s="12" t="str">
        <x:v>Renewed progression.</x:v>
      </x:c>
      <x:c r="AF93" s="12" t="str">
        <x:v>review sampling criterion: first negative-to-positive action turn</x:v>
      </x:c>
      <x:c r="AG93" s="18" t="n">
        <x:v>3895086</x:v>
      </x:c>
      <x:c r="AH93" s="18" t="n">
        <x:v>1</x:v>
      </x:c>
      <x:c r="AI93" s="18" t="n">
        <x:v>23</x:v>
      </x:c>
      <x:c r="AJ93" t="n">
        <x:v>0</x:v>
      </x:c>
    </x:row>
    <x:row r="94">
      <x:c r="A94" s="12" t="str">
        <x:v>C16</x:v>
      </x:c>
      <x:c r="B94" s="12" t="str">
        <x:v>C16_M08</x:v>
      </x:c>
      <x:c r="C94" s="12" t="str">
        <x:v>CLEAR_RESET</x:v>
      </x:c>
      <x:c r="D94" s="18" t="n">
        <x:v>3</x:v>
      </x:c>
      <x:c r="E94" s="12" t="str">
        <x:v>LOCKED</x:v>
      </x:c>
      <x:c r="F94" s="12" t="str">
        <x:v>confirmed reset evidence</x:v>
      </x:c>
      <x:c r="G94" s="13" t="b">
        <x:v>0</x:v>
      </x:c>
      <x:c r="H94" s="13" t="b">
        <x:v>1</x:v>
      </x:c>
      <x:c r="I94" s="16" t="n">
        <x:v>33</x:v>
      </x:c>
      <x:c r="J94" s="18" t="n">
        <x:v>574</x:v>
      </x:c>
      <x:c r="K94" s="16" t="n">
        <x:v>59.551000000000045</x:v>
      </x:c>
      <x:c r="L94" s="12" t="str">
        <x:v>Pass</x:v>
      </x:c>
      <x:c r="M94" s="12" t="str">
        <x:v>Bayer Leverkusen</x:v>
      </x:c>
      <x:c r="N94" s="12"/>
      <x:c r="O94" s="16" t="n">
        <x:v>42.5</x:v>
      </x:c>
      <x:c r="P94" s="16" t="n">
        <x:v>47.9</x:v>
      </x:c>
      <x:c r="Q94" s="16" t="n">
        <x:v>85.5</x:v>
      </x:c>
      <x:c r="R94" s="16" t="n">
        <x:v>43</x:v>
      </x:c>
      <x:c r="S94" s="16" t="n">
        <x:v>-9.700000000000003</x:v>
      </x:c>
      <x:c r="T94" s="18" t="n">
        <x:v>5</x:v>
      </x:c>
      <x:c r="U94" s="18" t="n">
        <x:v>5</x:v>
      </x:c>
      <x:c r="V94" s="16" t="n">
        <x:v>44.460000000000036</x:v>
      </x:c>
      <x:c r="W94" s="18" t="n">
        <x:v>46</x:v>
      </x:c>
      <x:c r="X94" s="12" t="str">
        <x:v>True</x:v>
      </x:c>
      <x:c r="Y94" s="16" t="n">
        <x:v>58.78399999999999</x:v>
      </x:c>
      <x:c r="Z94" s="18" t="n">
        <x:v>66</x:v>
      </x:c>
      <x:c r="AA94" s="12" t="str">
        <x:v>True</x:v>
      </x:c>
      <x:c r="AB94" s="12" t="str">
        <x:v>[0,30)</x:v>
      </x:c>
      <x:c r="AC94" s="18" t="n">
        <x:v>573</x:v>
      </x:c>
      <x:c r="AD94" s="18" t="n">
        <x:v>576</x:v>
      </x:c>
      <x:c r="AE94" s="12" t="str">
        <x:v>Sustained deep recycle; episode-local retreat ~33.</x:v>
      </x:c>
      <x:c r="AF94" s="12" t="str">
        <x:v>review sampling criterion: peak_retreat&gt;=40</x:v>
      </x:c>
      <x:c r="AG94" s="18" t="n">
        <x:v>3895086</x:v>
      </x:c>
      <x:c r="AH94" s="18" t="n">
        <x:v>1</x:v>
      </x:c>
      <x:c r="AI94" s="18" t="n">
        <x:v>23</x:v>
      </x:c>
      <x:c r="AJ94" t="n">
        <x:v>0</x:v>
      </x:c>
    </x:row>
    <x:row r="95">
      <x:c r="A95" s="12" t="str">
        <x:v>C16</x:v>
      </x:c>
      <x:c r="B95" s="12" t="str">
        <x:v>C16_M10</x:v>
      </x:c>
      <x:c r="C95" s="12" t="str">
        <x:v>CONTINUE</x:v>
      </x:c>
      <x:c r="D95" s="18" t="n">
        <x:v>3</x:v>
      </x:c>
      <x:c r="E95" s="12" t="str">
        <x:v>LOCKED</x:v>
      </x:c>
      <x:c r="F95" s="12" t="str">
        <x:v>negative/control example</x:v>
      </x:c>
      <x:c r="G95" s="13" t="b">
        <x:v>0</x:v>
      </x:c>
      <x:c r="H95" s="13" t="b">
        <x:v>1</x:v>
      </x:c>
      <x:c r="I95" s="16"/>
      <x:c r="J95" s="18" t="n">
        <x:v>640</x:v>
      </x:c>
      <x:c r="K95" s="16" t="n">
        <x:v>118.33500000000004</x:v>
      </x:c>
      <x:c r="L95" s="12" t="str">
        <x:v>Pass</x:v>
      </x:c>
      <x:c r="M95" s="12" t="str">
        <x:v>Bayer Leverkusen</x:v>
      </x:c>
      <x:c r="N95" s="12"/>
      <x:c r="O95" s="16" t="n">
        <x:v>92</x:v>
      </x:c>
      <x:c r="P95" s="16" t="n">
        <x:v>71.4</x:v>
      </x:c>
      <x:c r="Q95" s="16" t="n">
        <x:v>92</x:v>
      </x:c>
      <x:c r="R95" s="16" t="n">
        <x:v>0</x:v>
      </x:c>
      <x:c r="S95" s="16" t="n">
        <x:v>0</x:v>
      </x:c>
      <x:c r="T95" s="18"/>
      <x:c r="U95" s="18"/>
      <x:c r="V95" s="16" t="n">
        <x:v>0</x:v>
      </x:c>
      <x:c r="W95" s="18" t="n">
        <x:v>0</x:v>
      </x:c>
      <x:c r="X95" s="12"/>
      <x:c r="Y95" s="16"/>
      <x:c r="Z95" s="18"/>
      <x:c r="AA95" s="12"/>
      <x:c r="AB95" s="12" t="str">
        <x:v>[0,30)</x:v>
      </x:c>
      <x:c r="AC95" s="18" t="n">
        <x:v>638</x:v>
      </x:c>
      <x:c r="AD95" s="18" t="n">
        <x:v>641</x:v>
      </x:c>
      <x:c r="AE95" s="12" t="str">
        <x:v>New-episode progression after regain.</x:v>
      </x:c>
      <x:c r="AF95" s="12" t="str">
        <x:v>review sampling criterion: shortest/longest observed record-peak recovery</x:v>
      </x:c>
      <x:c r="AG95" s="18" t="n">
        <x:v>3895086</x:v>
      </x:c>
      <x:c r="AH95" s="18" t="n">
        <x:v>1</x:v>
      </x:c>
      <x:c r="AI95" s="18" t="n">
        <x:v>23</x:v>
      </x:c>
      <x:c r="AJ95" t="n">
        <x:v>0</x:v>
      </x:c>
    </x:row>
    <x:row r="96">
      <x:c r="A96" s="12" t="str">
        <x:v>C17</x:v>
      </x:c>
      <x:c r="B96" s="12" t="str">
        <x:v>C17_M04</x:v>
      </x:c>
      <x:c r="C96" s="12" t="str">
        <x:v>POSSIBLE_RESET</x:v>
      </x:c>
      <x:c r="D96" s="18" t="n">
        <x:v>2</x:v>
      </x:c>
      <x:c r="E96" s="12" t="str">
        <x:v>PARTIAL_LOCK</x:v>
      </x:c>
      <x:c r="F96" s="12" t="str">
        <x:v>warning evidence</x:v>
      </x:c>
      <x:c r="G96" s="13" t="b">
        <x:v>1</x:v>
      </x:c>
      <x:c r="H96" s="13" t="b">
        <x:v>0</x:v>
      </x:c>
      <x:c r="I96" s="16"/>
      <x:c r="J96" s="18" t="n">
        <x:v>2083</x:v>
      </x:c>
      <x:c r="K96" s="16" t="n">
        <x:v>21.25</x:v>
      </x:c>
      <x:c r="L96" s="12" t="str">
        <x:v>Pass</x:v>
      </x:c>
      <x:c r="M96" s="12" t="str">
        <x:v>Bayer Leverkusen</x:v>
      </x:c>
      <x:c r="N96" s="12"/>
      <x:c r="O96" s="16" t="n">
        <x:v>57.3</x:v>
      </x:c>
      <x:c r="P96" s="16" t="n">
        <x:v>71.1</x:v>
      </x:c>
      <x:c r="Q96" s="16" t="n">
        <x:v>71.1</x:v>
      </x:c>
      <x:c r="R96" s="16" t="n">
        <x:v>13.799999999999997</x:v>
      </x:c>
      <x:c r="S96" s="16" t="n">
        <x:v>-13.799999999999997</x:v>
      </x:c>
      <x:c r="T96" s="18" t="n">
        <x:v>1</x:v>
      </x:c>
      <x:c r="U96" s="18" t="n">
        <x:v>2</x:v>
      </x:c>
      <x:c r="V96" s="16" t="n">
        <x:v>0</x:v>
      </x:c>
      <x:c r="W96" s="18" t="n">
        <x:v>0</x:v>
      </x:c>
      <x:c r="X96" s="12" t="str">
        <x:v>True</x:v>
      </x:c>
      <x:c r="Y96" s="16" t="n">
        <x:v>15.211999999999989</x:v>
      </x:c>
      <x:c r="Z96" s="18" t="n">
        <x:v>17</x:v>
      </x:c>
      <x:c r="AA96" s="12" t="str">
        <x:v>True</x:v>
      </x:c>
      <x:c r="AB96" s="12" t="str">
        <x:v>[0,30)</x:v>
      </x:c>
      <x:c r="AC96" s="18" t="n">
        <x:v>2082</x:v>
      </x:c>
      <x:c r="AD96" s="18" t="n">
        <x:v>2085</x:v>
      </x:c>
      <x:c r="AE96" s="12" t="str"/>
      <x:c r="AF96" s="12" t="str">
        <x:v>review sampling criterion: peak_retreat&gt;=5; review sampling criterion: single_negative&gt;=5</x:v>
      </x:c>
      <x:c r="AG96" s="18" t="n">
        <x:v>3895121</x:v>
      </x:c>
      <x:c r="AH96" s="18" t="n">
        <x:v>2</x:v>
      </x:c>
      <x:c r="AI96" s="18" t="n">
        <x:v>83</x:v>
      </x:c>
      <x:c r="AJ96" t="n">
        <x:v>1</x:v>
      </x:c>
    </x:row>
    <x:row r="97">
      <x:c r="A97" s="12" t="str">
        <x:v>C17</x:v>
      </x:c>
      <x:c r="B97" s="12" t="str">
        <x:v>C17_M05</x:v>
      </x:c>
      <x:c r="C97" s="12" t="str">
        <x:v>POSSIBLE_RESET</x:v>
      </x:c>
      <x:c r="D97" s="18" t="n">
        <x:v>2</x:v>
      </x:c>
      <x:c r="E97" s="12" t="str">
        <x:v>PARTIAL_LOCK</x:v>
      </x:c>
      <x:c r="F97" s="12" t="str">
        <x:v>warning evidence</x:v>
      </x:c>
      <x:c r="G97" s="13" t="b">
        <x:v>1</x:v>
      </x:c>
      <x:c r="H97" s="13" t="b">
        <x:v>0</x:v>
      </x:c>
      <x:c r="I97" s="16"/>
      <x:c r="J97" s="18" t="n">
        <x:v>2085</x:v>
      </x:c>
      <x:c r="K97" s="16" t="n">
        <x:v>22.37899999999999</x:v>
      </x:c>
      <x:c r="L97" s="12" t="str">
        <x:v>Carry</x:v>
      </x:c>
      <x:c r="M97" s="12" t="str">
        <x:v>Bayer Leverkusen</x:v>
      </x:c>
      <x:c r="N97" s="12"/>
      <x:c r="O97" s="16" t="n">
        <x:v>57.2</x:v>
      </x:c>
      <x:c r="P97" s="16" t="n">
        <x:v>57.3</x:v>
      </x:c>
      <x:c r="Q97" s="16" t="n">
        <x:v>71.1</x:v>
      </x:c>
      <x:c r="R97" s="16" t="n">
        <x:v>13.899999999999991</x:v>
      </x:c>
      <x:c r="S97" s="16" t="n">
        <x:v>-13.799999999999997</x:v>
      </x:c>
      <x:c r="T97" s="18" t="n">
        <x:v>2</x:v>
      </x:c>
      <x:c r="U97" s="18" t="n">
        <x:v>3</x:v>
      </x:c>
      <x:c r="V97" s="16" t="n">
        <x:v>1.1289999999999907</x:v>
      </x:c>
      <x:c r="W97" s="18" t="n">
        <x:v>2</x:v>
      </x:c>
      <x:c r="X97" s="12" t="str">
        <x:v>True</x:v>
      </x:c>
      <x:c r="Y97" s="16" t="n">
        <x:v>14.082999999999998</x:v>
      </x:c>
      <x:c r="Z97" s="18" t="n">
        <x:v>15</x:v>
      </x:c>
      <x:c r="AA97" s="12" t="str">
        <x:v>True</x:v>
      </x:c>
      <x:c r="AB97" s="12" t="str">
        <x:v>[0,30)</x:v>
      </x:c>
      <x:c r="AC97" s="18" t="n">
        <x:v>2083</x:v>
      </x:c>
      <x:c r="AD97" s="18" t="n">
        <x:v>2086</x:v>
      </x:c>
      <x:c r="AE97" s="12" t="str">
        <x:v>Same excursion.</x:v>
      </x:c>
      <x:c r="AF97" s="12" t="str">
        <x:v>review sampling criterion: negative run&gt;=2; review sampling criterion: nonpositive run&gt;=2; review sampling criterion: nonpositive run&gt;=3</x:v>
      </x:c>
      <x:c r="AG97" s="18" t="n">
        <x:v>3895121</x:v>
      </x:c>
      <x:c r="AH97" s="18" t="n">
        <x:v>2</x:v>
      </x:c>
      <x:c r="AI97" s="18" t="n">
        <x:v>83</x:v>
      </x:c>
      <x:c r="AJ97" t="n">
        <x:v>1</x:v>
      </x:c>
    </x:row>
    <x:row r="98">
      <x:c r="A98" s="12" t="str">
        <x:v>C18</x:v>
      </x:c>
      <x:c r="B98" s="12" t="str">
        <x:v>C18_M02</x:v>
      </x:c>
      <x:c r="C98" s="12" t="str">
        <x:v>CONTINUE</x:v>
      </x:c>
      <x:c r="D98" s="18" t="n">
        <x:v>3</x:v>
      </x:c>
      <x:c r="E98" s="12" t="str">
        <x:v>LOCKED</x:v>
      </x:c>
      <x:c r="F98" s="12" t="str">
        <x:v>negative/control example</x:v>
      </x:c>
      <x:c r="G98" s="13" t="b">
        <x:v>1</x:v>
      </x:c>
      <x:c r="H98" s="13" t="b">
        <x:v>0</x:v>
      </x:c>
      <x:c r="I98" s="16"/>
      <x:c r="J98" s="18" t="n">
        <x:v>1288</x:v>
      </x:c>
      <x:c r="K98" s="16" t="n">
        <x:v>1.8739999999997963</x:v>
      </x:c>
      <x:c r="L98" s="12" t="str">
        <x:v>Pass</x:v>
      </x:c>
      <x:c r="M98" s="12" t="str">
        <x:v>Bayer Leverkusen</x:v>
      </x:c>
      <x:c r="N98" s="12"/>
      <x:c r="O98" s="16" t="n">
        <x:v>61.5</x:v>
      </x:c>
      <x:c r="P98" s="16" t="n">
        <x:v>69</x:v>
      </x:c>
      <x:c r="Q98" s="16" t="n">
        <x:v>69</x:v>
      </x:c>
      <x:c r="R98" s="16" t="n">
        <x:v>7.5</x:v>
      </x:c>
      <x:c r="S98" s="16" t="n">
        <x:v>-7.5</x:v>
      </x:c>
      <x:c r="T98" s="18" t="n">
        <x:v>1</x:v>
      </x:c>
      <x:c r="U98" s="18" t="n">
        <x:v>1</x:v>
      </x:c>
      <x:c r="V98" s="16" t="n">
        <x:v>0</x:v>
      </x:c>
      <x:c r="W98" s="18" t="n">
        <x:v>0</x:v>
      </x:c>
      <x:c r="X98" s="12" t="str">
        <x:v>True</x:v>
      </x:c>
      <x:c r="Y98" s="16" t="n">
        <x:v>40.167000000000144</x:v>
      </x:c>
      <x:c r="Z98" s="18" t="n">
        <x:v>44</x:v>
      </x:c>
      <x:c r="AA98" s="12" t="str">
        <x:v>True</x:v>
      </x:c>
      <x:c r="AB98" s="12" t="str">
        <x:v>[60,80)</x:v>
      </x:c>
      <x:c r="AC98" s="18"/>
      <x:c r="AD98" s="18" t="n">
        <x:v>1290</x:v>
      </x:c>
      <x:c r="AE98" s="12" t="str"/>
      <x:c r="AF98" s="12" t="str">
        <x:v>review sampling criterion: first negative vector (no magnitude minimum); review sampling criterion: peak_retreat&gt;=5; review sampling criterion: single_negative&gt;=5</x:v>
      </x:c>
      <x:c r="AG98" s="18" t="n">
        <x:v>3895153</x:v>
      </x:c>
      <x:c r="AH98" s="18" t="n">
        <x:v>1</x:v>
      </x:c>
      <x:c r="AI98" s="18" t="n">
        <x:v>43</x:v>
      </x:c>
      <x:c r="AJ98" t="n">
        <x:v>1</x:v>
      </x:c>
    </x:row>
    <x:row r="99">
      <x:c r="A99" s="12" t="str">
        <x:v>C18</x:v>
      </x:c>
      <x:c r="B99" s="12" t="str">
        <x:v>C18_M03</x:v>
      </x:c>
      <x:c r="C99" s="12" t="str">
        <x:v>CONTINUE</x:v>
      </x:c>
      <x:c r="D99" s="18" t="n">
        <x:v>3</x:v>
      </x:c>
      <x:c r="E99" s="12" t="str">
        <x:v>LOCKED</x:v>
      </x:c>
      <x:c r="F99" s="12" t="str">
        <x:v>negative/control example</x:v>
      </x:c>
      <x:c r="G99" s="13" t="b">
        <x:v>1</x:v>
      </x:c>
      <x:c r="H99" s="13" t="b">
        <x:v>0</x:v>
      </x:c>
      <x:c r="I99" s="16"/>
      <x:c r="J99" s="18" t="n">
        <x:v>1290</x:v>
      </x:c>
      <x:c r="K99" s="16" t="n">
        <x:v>3.0019999999999527</x:v>
      </x:c>
      <x:c r="L99" s="12" t="str">
        <x:v>Carry</x:v>
      </x:c>
      <x:c r="M99" s="12" t="str">
        <x:v>Bayer Leverkusen</x:v>
      </x:c>
      <x:c r="N99" s="12"/>
      <x:c r="O99" s="16" t="n">
        <x:v>63.1</x:v>
      </x:c>
      <x:c r="P99" s="16" t="n">
        <x:v>61.5</x:v>
      </x:c>
      <x:c r="Q99" s="16" t="n">
        <x:v>69</x:v>
      </x:c>
      <x:c r="R99" s="16" t="n">
        <x:v>5.899999999999999</x:v>
      </x:c>
      <x:c r="S99" s="16" t="n">
        <x:v>-7.5</x:v>
      </x:c>
      <x:c r="T99" s="18"/>
      <x:c r="U99" s="18"/>
      <x:c r="V99" s="16" t="n">
        <x:v>1.1280000000001564</x:v>
      </x:c>
      <x:c r="W99" s="18" t="n">
        <x:v>2</x:v>
      </x:c>
      <x:c r="X99" s="12" t="str">
        <x:v>True</x:v>
      </x:c>
      <x:c r="Y99" s="16" t="n">
        <x:v>39.03899999999999</x:v>
      </x:c>
      <x:c r="Z99" s="18" t="n">
        <x:v>42</x:v>
      </x:c>
      <x:c r="AA99" s="12" t="str">
        <x:v>True</x:v>
      </x:c>
      <x:c r="AB99" s="12" t="str">
        <x:v>[60,80)</x:v>
      </x:c>
      <x:c r="AC99" s="18" t="n">
        <x:v>1288</x:v>
      </x:c>
      <x:c r="AD99" s="18" t="n">
        <x:v>1291</x:v>
      </x:c>
      <x:c r="AE99" s="12" t="str"/>
      <x:c r="AF99" s="12" t="str">
        <x:v>review sampling criterion: first negative-to-positive action turn</x:v>
      </x:c>
      <x:c r="AG99" s="18" t="n">
        <x:v>3895153</x:v>
      </x:c>
      <x:c r="AH99" s="18" t="n">
        <x:v>1</x:v>
      </x:c>
      <x:c r="AI99" s="18" t="n">
        <x:v>43</x:v>
      </x:c>
      <x:c r="AJ99" t="n">
        <x:v>1</x:v>
      </x:c>
    </x:row>
    <x:row r="100">
      <x:c r="A100" s="12" t="str">
        <x:v>C18</x:v>
      </x:c>
      <x:c r="B100" s="12" t="str">
        <x:v>C18_M04</x:v>
      </x:c>
      <x:c r="C100" s="12" t="str">
        <x:v>CONTINUE</x:v>
      </x:c>
      <x:c r="D100" s="18" t="n">
        <x:v>3</x:v>
      </x:c>
      <x:c r="E100" s="12" t="str">
        <x:v>LOCKED</x:v>
      </x:c>
      <x:c r="F100" s="12" t="str">
        <x:v>negative/control example</x:v>
      </x:c>
      <x:c r="G100" s="13" t="b">
        <x:v>1</x:v>
      </x:c>
      <x:c r="H100" s="13" t="b">
        <x:v>0</x:v>
      </x:c>
      <x:c r="I100" s="16"/>
      <x:c r="J100" s="18" t="n">
        <x:v>1291</x:v>
      </x:c>
      <x:c r="K100" s="16" t="n">
        <x:v>7.580999999999904</x:v>
      </x:c>
      <x:c r="L100" s="12" t="str">
        <x:v>Pass</x:v>
      </x:c>
      <x:c r="M100" s="12" t="str">
        <x:v>Bayer Leverkusen</x:v>
      </x:c>
      <x:c r="N100" s="12"/>
      <x:c r="O100" s="16" t="n">
        <x:v>65.2</x:v>
      </x:c>
      <x:c r="P100" s="16" t="n">
        <x:v>63.1</x:v>
      </x:c>
      <x:c r="Q100" s="16" t="n">
        <x:v>69</x:v>
      </x:c>
      <x:c r="R100" s="16" t="n">
        <x:v>3.799999999999997</x:v>
      </x:c>
      <x:c r="S100" s="16" t="n">
        <x:v>-7.5</x:v>
      </x:c>
      <x:c r="T100" s="18"/>
      <x:c r="U100" s="18"/>
      <x:c r="V100" s="16" t="n">
        <x:v>5.707000000000107</x:v>
      </x:c>
      <x:c r="W100" s="18" t="n">
        <x:v>3</x:v>
      </x:c>
      <x:c r="X100" s="12" t="str">
        <x:v>True</x:v>
      </x:c>
      <x:c r="Y100" s="16" t="n">
        <x:v>34.460000000000036</x:v>
      </x:c>
      <x:c r="Z100" s="18" t="n">
        <x:v>41</x:v>
      </x:c>
      <x:c r="AA100" s="12" t="str">
        <x:v>True</x:v>
      </x:c>
      <x:c r="AB100" s="12" t="str">
        <x:v>[60,80)</x:v>
      </x:c>
      <x:c r="AC100" s="18" t="n">
        <x:v>1290</x:v>
      </x:c>
      <x:c r="AD100" s="18" t="n">
        <x:v>1293</x:v>
      </x:c>
      <x:c r="AE100" s="12" t="str"/>
      <x:c r="AF100" s="12" t="str">
        <x:v>review sampling criterion: first full-event gap&gt;3s</x:v>
      </x:c>
      <x:c r="AG100" s="18" t="n">
        <x:v>3895153</x:v>
      </x:c>
      <x:c r="AH100" s="18" t="n">
        <x:v>1</x:v>
      </x:c>
      <x:c r="AI100" s="18" t="n">
        <x:v>43</x:v>
      </x:c>
      <x:c r="AJ100" t="n">
        <x:v>1</x:v>
      </x:c>
    </x:row>
    <x:row r="101">
      <x:c r="A101" s="12" t="str">
        <x:v>C18</x:v>
      </x:c>
      <x:c r="B101" s="12" t="str">
        <x:v>C18_M05</x:v>
      </x:c>
      <x:c r="C101" s="12" t="str">
        <x:v>POSSIBLE_RESET</x:v>
      </x:c>
      <x:c r="D101" s="18" t="n">
        <x:v>2</x:v>
      </x:c>
      <x:c r="E101" s="12" t="str">
        <x:v>LOCKED</x:v>
      </x:c>
      <x:c r="F101" s="12" t="str">
        <x:v>warning evidence</x:v>
      </x:c>
      <x:c r="G101" s="13" t="b">
        <x:v>1</x:v>
      </x:c>
      <x:c r="H101" s="13" t="b">
        <x:v>0</x:v>
      </x:c>
      <x:c r="I101" s="16"/>
      <x:c r="J101" s="18" t="n">
        <x:v>1296</x:v>
      </x:c>
      <x:c r="K101" s="16" t="n">
        <x:v>11.853999999999814</x:v>
      </x:c>
      <x:c r="L101" s="12" t="str">
        <x:v>Carry</x:v>
      </x:c>
      <x:c r="M101" s="12" t="str">
        <x:v>Bayer Leverkusen</x:v>
      </x:c>
      <x:c r="N101" s="12"/>
      <x:c r="O101" s="16" t="n">
        <x:v>58.8</x:v>
      </x:c>
      <x:c r="P101" s="16" t="n">
        <x:v>62.7</x:v>
      </x:c>
      <x:c r="Q101" s="16" t="n">
        <x:v>69</x:v>
      </x:c>
      <x:c r="R101" s="16" t="n">
        <x:v>10.200000000000003</x:v>
      </x:c>
      <x:c r="S101" s="16" t="n">
        <x:v>-3.9000000000000057</x:v>
      </x:c>
      <x:c r="T101" s="18" t="n">
        <x:v>2</x:v>
      </x:c>
      <x:c r="U101" s="18" t="n">
        <x:v>2</x:v>
      </x:c>
      <x:c r="V101" s="16" t="n">
        <x:v>9.980000000000018</x:v>
      </x:c>
      <x:c r="W101" s="18" t="n">
        <x:v>8</x:v>
      </x:c>
      <x:c r="X101" s="12" t="str">
        <x:v>True</x:v>
      </x:c>
      <x:c r="Y101" s="16" t="n">
        <x:v>30.187000000000126</x:v>
      </x:c>
      <x:c r="Z101" s="18" t="n">
        <x:v>36</x:v>
      </x:c>
      <x:c r="AA101" s="12" t="str">
        <x:v>True</x:v>
      </x:c>
      <x:c r="AB101" s="12" t="str">
        <x:v>[60,80)</x:v>
      </x:c>
      <x:c r="AC101" s="18" t="n">
        <x:v>1294</x:v>
      </x:c>
      <x:c r="AD101" s="18" t="n">
        <x:v>1297</x:v>
      </x:c>
      <x:c r="AE101" s="12" t="str"/>
      <x:c r="AF101" s="12" t="str">
        <x:v>review sampling criterion: negative run&gt;=2; review sampling criterion: nonpositive run&gt;=2</x:v>
      </x:c>
      <x:c r="AG101" s="18" t="n">
        <x:v>3895153</x:v>
      </x:c>
      <x:c r="AH101" s="18" t="n">
        <x:v>1</x:v>
      </x:c>
      <x:c r="AI101" s="18" t="n">
        <x:v>43</x:v>
      </x:c>
      <x:c r="AJ101" t="n">
        <x:v>1</x:v>
      </x:c>
    </x:row>
    <x:row r="102">
      <x:c r="A102" s="12" t="str">
        <x:v>C18</x:v>
      </x:c>
      <x:c r="B102" s="12" t="str">
        <x:v>C18_M06</x:v>
      </x:c>
      <x:c r="C102" s="12" t="str">
        <x:v>POSSIBLE_RESET</x:v>
      </x:c>
      <x:c r="D102" s="18" t="n">
        <x:v>2</x:v>
      </x:c>
      <x:c r="E102" s="12" t="str">
        <x:v>LOCKED</x:v>
      </x:c>
      <x:c r="F102" s="12" t="str">
        <x:v>warning evidence</x:v>
      </x:c>
      <x:c r="G102" s="13" t="b">
        <x:v>1</x:v>
      </x:c>
      <x:c r="H102" s="13" t="b">
        <x:v>0</x:v>
      </x:c>
      <x:c r="I102" s="16"/>
      <x:c r="J102" s="18" t="n">
        <x:v>1302</x:v>
      </x:c>
      <x:c r="K102" s="16" t="n">
        <x:v>15.142999999999802</x:v>
      </x:c>
      <x:c r="L102" s="12" t="str">
        <x:v>Carry</x:v>
      </x:c>
      <x:c r="M102" s="12" t="str">
        <x:v>Bayer Leverkusen</x:v>
      </x:c>
      <x:c r="N102" s="12"/>
      <x:c r="O102" s="16" t="n">
        <x:v>51.1</x:v>
      </x:c>
      <x:c r="P102" s="16" t="n">
        <x:v>54.4</x:v>
      </x:c>
      <x:c r="Q102" s="16" t="n">
        <x:v>69</x:v>
      </x:c>
      <x:c r="R102" s="16" t="n">
        <x:v>17.9</x:v>
      </x:c>
      <x:c r="S102" s="16" t="n">
        <x:v>-6.600000000000001</x:v>
      </x:c>
      <x:c r="T102" s="18" t="n">
        <x:v>2</x:v>
      </x:c>
      <x:c r="U102" s="18" t="n">
        <x:v>2</x:v>
      </x:c>
      <x:c r="V102" s="16" t="n">
        <x:v>13.269000000000005</x:v>
      </x:c>
      <x:c r="W102" s="18" t="n">
        <x:v>14</x:v>
      </x:c>
      <x:c r="X102" s="12" t="str">
        <x:v>True</x:v>
      </x:c>
      <x:c r="Y102" s="16" t="n">
        <x:v>26.89800000000014</x:v>
      </x:c>
      <x:c r="Z102" s="18" t="n">
        <x:v>30</x:v>
      </x:c>
      <x:c r="AA102" s="12" t="str">
        <x:v>True</x:v>
      </x:c>
      <x:c r="AB102" s="12" t="str">
        <x:v>[60,80)</x:v>
      </x:c>
      <x:c r="AC102" s="18" t="n">
        <x:v>1300</x:v>
      </x:c>
      <x:c r="AD102" s="18" t="n">
        <x:v>1303</x:v>
      </x:c>
      <x:c r="AE102" s="12" t="str">
        <x:v>Same excursion.</x:v>
      </x:c>
      <x:c r="AF102" s="12" t="str">
        <x:v>review sampling criterion: peak_retreat&gt;=15</x:v>
      </x:c>
      <x:c r="AG102" s="18" t="n">
        <x:v>3895153</x:v>
      </x:c>
      <x:c r="AH102" s="18" t="n">
        <x:v>1</x:v>
      </x:c>
      <x:c r="AI102" s="18" t="n">
        <x:v>43</x:v>
      </x:c>
      <x:c r="AJ102" t="n">
        <x:v>1</x:v>
      </x:c>
    </x:row>
    <x:row r="103">
      <x:c r="A103" s="12" t="str">
        <x:v>C18</x:v>
      </x:c>
      <x:c r="B103" s="12" t="str">
        <x:v>C18_M07</x:v>
      </x:c>
      <x:c r="C103" s="12" t="str">
        <x:v>CLEAR_RESET</x:v>
      </x:c>
      <x:c r="D103" s="18" t="n">
        <x:v>3</x:v>
      </x:c>
      <x:c r="E103" s="12" t="str">
        <x:v>LOCKED</x:v>
      </x:c>
      <x:c r="F103" s="12" t="str">
        <x:v>confirmed reset evidence</x:v>
      </x:c>
      <x:c r="G103" s="13" t="b">
        <x:v>1</x:v>
      </x:c>
      <x:c r="H103" s="13" t="b">
        <x:v>0</x:v>
      </x:c>
      <x:c r="I103" s="16"/>
      <x:c r="J103" s="18" t="n">
        <x:v>1304</x:v>
      </x:c>
      <x:c r="K103" s="16" t="n">
        <x:v>16.373999999999796</x:v>
      </x:c>
      <x:c r="L103" s="12" t="str">
        <x:v>Pass</x:v>
      </x:c>
      <x:c r="M103" s="12" t="str">
        <x:v>Bayer Leverkusen</x:v>
      </x:c>
      <x:c r="N103" s="12"/>
      <x:c r="O103" s="16" t="n">
        <x:v>36.2</x:v>
      </x:c>
      <x:c r="P103" s="16" t="n">
        <x:v>51.1</x:v>
      </x:c>
      <x:c r="Q103" s="16" t="n">
        <x:v>69</x:v>
      </x:c>
      <x:c r="R103" s="16" t="n">
        <x:v>32.8</x:v>
      </x:c>
      <x:c r="S103" s="16" t="n">
        <x:v>-14.899999999999999</x:v>
      </x:c>
      <x:c r="T103" s="18" t="n">
        <x:v>3</x:v>
      </x:c>
      <x:c r="U103" s="18" t="n">
        <x:v>3</x:v>
      </x:c>
      <x:c r="V103" s="16" t="n">
        <x:v>14.5</x:v>
      </x:c>
      <x:c r="W103" s="18" t="n">
        <x:v>16</x:v>
      </x:c>
      <x:c r="X103" s="12" t="str">
        <x:v>True</x:v>
      </x:c>
      <x:c r="Y103" s="16" t="n">
        <x:v>25.667000000000144</x:v>
      </x:c>
      <x:c r="Z103" s="18" t="n">
        <x:v>28</x:v>
      </x:c>
      <x:c r="AA103" s="12" t="str">
        <x:v>True</x:v>
      </x:c>
      <x:c r="AB103" s="12" t="str">
        <x:v>[60,80)</x:v>
      </x:c>
      <x:c r="AC103" s="18" t="n">
        <x:v>1303</x:v>
      </x:c>
      <x:c r="AD103" s="18" t="n">
        <x:v>1306</x:v>
      </x:c>
      <x:c r="AE103" s="12" t="str"/>
      <x:c r="AF103" s="12" t="str">
        <x:v>review sampling criterion: peak_retreat&gt;=30</x:v>
      </x:c>
      <x:c r="AG103" s="18" t="n">
        <x:v>3895153</x:v>
      </x:c>
      <x:c r="AH103" s="18" t="n">
        <x:v>1</x:v>
      </x:c>
      <x:c r="AI103" s="18" t="n">
        <x:v>43</x:v>
      </x:c>
      <x:c r="AJ103" t="n">
        <x:v>1</x:v>
      </x:c>
    </x:row>
    <x:row r="104">
      <x:c r="A104" s="12" t="str">
        <x:v>C18</x:v>
      </x:c>
      <x:c r="B104" s="12" t="str">
        <x:v>C18_M08</x:v>
      </x:c>
      <x:c r="C104" s="12" t="str">
        <x:v>CLEAR_RESET</x:v>
      </x:c>
      <x:c r="D104" s="18" t="n">
        <x:v>3</x:v>
      </x:c>
      <x:c r="E104" s="12" t="str">
        <x:v>LOCKED</x:v>
      </x:c>
      <x:c r="F104" s="12" t="str">
        <x:v>confirmed reset evidence</x:v>
      </x:c>
      <x:c r="G104" s="13" t="b">
        <x:v>1</x:v>
      </x:c>
      <x:c r="H104" s="13" t="b">
        <x:v>0</x:v>
      </x:c>
      <x:c r="I104" s="16"/>
      <x:c r="J104" s="18" t="n">
        <x:v>1306</x:v>
      </x:c>
      <x:c r="K104" s="16" t="n">
        <x:v>17.235999999999876</x:v>
      </x:c>
      <x:c r="L104" s="12" t="str">
        <x:v>Carry</x:v>
      </x:c>
      <x:c r="M104" s="12" t="str">
        <x:v>Bayer Leverkusen</x:v>
      </x:c>
      <x:c r="N104" s="12"/>
      <x:c r="O104" s="16" t="n">
        <x:v>34</x:v>
      </x:c>
      <x:c r="P104" s="16" t="n">
        <x:v>36.2</x:v>
      </x:c>
      <x:c r="Q104" s="16" t="n">
        <x:v>69</x:v>
      </x:c>
      <x:c r="R104" s="16" t="n">
        <x:v>35</x:v>
      </x:c>
      <x:c r="S104" s="16" t="n">
        <x:v>-14.899999999999999</x:v>
      </x:c>
      <x:c r="T104" s="18" t="n">
        <x:v>4</x:v>
      </x:c>
      <x:c r="U104" s="18" t="n">
        <x:v>4</x:v>
      </x:c>
      <x:c r="V104" s="16" t="n">
        <x:v>15.36200000000008</x:v>
      </x:c>
      <x:c r="W104" s="18" t="n">
        <x:v>18</x:v>
      </x:c>
      <x:c r="X104" s="12" t="str">
        <x:v>True</x:v>
      </x:c>
      <x:c r="Y104" s="16" t="n">
        <x:v>24.805000000000064</x:v>
      </x:c>
      <x:c r="Z104" s="18" t="n">
        <x:v>26</x:v>
      </x:c>
      <x:c r="AA104" s="12" t="str">
        <x:v>True</x:v>
      </x:c>
      <x:c r="AB104" s="12" t="str">
        <x:v>[60,80)</x:v>
      </x:c>
      <x:c r="AC104" s="18" t="n">
        <x:v>1304</x:v>
      </x:c>
      <x:c r="AD104" s="18" t="n">
        <x:v>1307</x:v>
      </x:c>
      <x:c r="AE104" s="12" t="str">
        <x:v>Same established reset excursion.</x:v>
      </x:c>
      <x:c r="AF104" s="12" t="str">
        <x:v>review sampling criterion: negative run&gt;=3; review sampling criterion: nonpositive run&gt;=3</x:v>
      </x:c>
      <x:c r="AG104" s="18" t="n">
        <x:v>3895153</x:v>
      </x:c>
      <x:c r="AH104" s="18" t="n">
        <x:v>1</x:v>
      </x:c>
      <x:c r="AI104" s="18" t="n">
        <x:v>43</x:v>
      </x:c>
      <x:c r="AJ104" t="n">
        <x:v>1</x:v>
      </x:c>
    </x:row>
    <x:row r="105">
      <x:c r="A105" s="12" t="str">
        <x:v>C18</x:v>
      </x:c>
      <x:c r="B105" s="12" t="str">
        <x:v>C18_M09</x:v>
      </x:c>
      <x:c r="C105" s="12" t="str">
        <x:v>CLEAR_RESET</x:v>
      </x:c>
      <x:c r="D105" s="18" t="n">
        <x:v>3</x:v>
      </x:c>
      <x:c r="E105" s="12" t="str">
        <x:v>LOCKED</x:v>
      </x:c>
      <x:c r="F105" s="12" t="str">
        <x:v>confirmed reset evidence</x:v>
      </x:c>
      <x:c r="G105" s="13" t="b">
        <x:v>1</x:v>
      </x:c>
      <x:c r="H105" s="13" t="b">
        <x:v>0</x:v>
      </x:c>
      <x:c r="I105" s="16"/>
      <x:c r="J105" s="18" t="n">
        <x:v>1309</x:v>
      </x:c>
      <x:c r="K105" s="16" t="n">
        <x:v>20.593999999999824</x:v>
      </x:c>
      <x:c r="L105" s="12" t="str">
        <x:v>Carry</x:v>
      </x:c>
      <x:c r="M105" s="12" t="str">
        <x:v>Bayer Leverkusen</x:v>
      </x:c>
      <x:c r="N105" s="12"/>
      <x:c r="O105" s="16" t="n">
        <x:v>27.4</x:v>
      </x:c>
      <x:c r="P105" s="16" t="n">
        <x:v>46.6</x:v>
      </x:c>
      <x:c r="Q105" s="16" t="n">
        <x:v>69</x:v>
      </x:c>
      <x:c r="R105" s="16" t="n">
        <x:v>41.6</x:v>
      </x:c>
      <x:c r="S105" s="16" t="n">
        <x:v>-19.200000000000003</x:v>
      </x:c>
      <x:c r="T105" s="18" t="n">
        <x:v>1</x:v>
      </x:c>
      <x:c r="U105" s="18" t="n">
        <x:v>1</x:v>
      </x:c>
      <x:c r="V105" s="16" t="n">
        <x:v>18.720000000000027</x:v>
      </x:c>
      <x:c r="W105" s="18" t="n">
        <x:v>21</x:v>
      </x:c>
      <x:c r="X105" s="12" t="str">
        <x:v>True</x:v>
      </x:c>
      <x:c r="Y105" s="16" t="n">
        <x:v>21.447000000000116</x:v>
      </x:c>
      <x:c r="Z105" s="18" t="n">
        <x:v>23</x:v>
      </x:c>
      <x:c r="AA105" s="12" t="str">
        <x:v>True</x:v>
      </x:c>
      <x:c r="AB105" s="12" t="str">
        <x:v>[60,80)</x:v>
      </x:c>
      <x:c r="AC105" s="18" t="n">
        <x:v>1307</x:v>
      </x:c>
      <x:c r="AD105" s="18" t="n">
        <x:v>1311</x:v>
      </x:c>
      <x:c r="AE105" s="12" t="str">
        <x:v>Same reset phase; brief re-progression fails.</x:v>
      </x:c>
      <x:c r="AF105" s="12" t="str">
        <x:v>review sampling criterion: peak_retreat&gt;=40; review sampling criterion: single_negative&gt;=15</x:v>
      </x:c>
      <x:c r="AG105" s="18" t="n">
        <x:v>3895153</x:v>
      </x:c>
      <x:c r="AH105" s="18" t="n">
        <x:v>1</x:v>
      </x:c>
      <x:c r="AI105" s="18" t="n">
        <x:v>43</x:v>
      </x:c>
      <x:c r="AJ105" t="n">
        <x:v>1</x:v>
      </x:c>
    </x:row>
    <x:row r="106">
      <x:c r="A106" s="12" t="str">
        <x:v>C18</x:v>
      </x:c>
      <x:c r="B106" s="12" t="str">
        <x:v>C18_M11</x:v>
      </x:c>
      <x:c r="C106" s="12" t="str">
        <x:v>CONTINUE</x:v>
      </x:c>
      <x:c r="D106" s="18" t="n">
        <x:v>3</x:v>
      </x:c>
      <x:c r="E106" s="12" t="str">
        <x:v>LOCKED</x:v>
      </x:c>
      <x:c r="F106" s="12" t="str">
        <x:v>negative/control example</x:v>
      </x:c>
      <x:c r="G106" s="13" t="b">
        <x:v>0</x:v>
      </x:c>
      <x:c r="H106" s="13" t="b">
        <x:v>1</x:v>
      </x:c>
      <x:c r="I106" s="16"/>
      <x:c r="J106" s="18" t="n">
        <x:v>1417</x:v>
      </x:c>
      <x:c r="K106" s="16" t="n">
        <x:v>129.75199999999995</x:v>
      </x:c>
      <x:c r="L106" s="12" t="str">
        <x:v>Carry</x:v>
      </x:c>
      <x:c r="M106" s="12" t="str">
        <x:v>Bayer Leverkusen</x:v>
      </x:c>
      <x:c r="N106" s="12"/>
      <x:c r="O106" s="16" t="n">
        <x:v>103.8</x:v>
      </x:c>
      <x:c r="P106" s="16" t="n">
        <x:v>97.6</x:v>
      </x:c>
      <x:c r="Q106" s="16" t="n">
        <x:v>103.8</x:v>
      </x:c>
      <x:c r="R106" s="16" t="n">
        <x:v>0</x:v>
      </x:c>
      <x:c r="S106" s="16" t="n">
        <x:v>-1.3999999999999986</x:v>
      </x:c>
      <x:c r="T106" s="18"/>
      <x:c r="U106" s="18"/>
      <x:c r="V106" s="16" t="n">
        <x:v>0</x:v>
      </x:c>
      <x:c r="W106" s="18" t="n">
        <x:v>0</x:v>
      </x:c>
      <x:c r="X106" s="12"/>
      <x:c r="Y106" s="16"/>
      <x:c r="Z106" s="18"/>
      <x:c r="AA106" s="12"/>
      <x:c r="AB106" s="12" t="str">
        <x:v>[60,80)</x:v>
      </x:c>
      <x:c r="AC106" s="18" t="n">
        <x:v>1410</x:v>
      </x:c>
      <x:c r="AD106" s="18" t="n">
        <x:v>1420</x:v>
      </x:c>
      <x:c r="AE106" s="12" t="str">
        <x:v>New Leverkusen episode after regain.</x:v>
      </x:c>
      <x:c r="AF106" s="12" t="str">
        <x:v>review sampling criterion: shortest/longest observed record-peak recovery</x:v>
      </x:c>
      <x:c r="AG106" s="18" t="n">
        <x:v>3895153</x:v>
      </x:c>
      <x:c r="AH106" s="18" t="n">
        <x:v>1</x:v>
      </x:c>
      <x:c r="AI106" s="18" t="n">
        <x:v>43</x:v>
      </x:c>
      <x:c r="AJ106" t="n">
        <x:v>0</x:v>
      </x:c>
    </x:row>
    <x:row r="107">
      <x:c r="A107" s="12" t="str">
        <x:v>C18</x:v>
      </x:c>
      <x:c r="B107" s="12" t="str">
        <x:v>C18_M12</x:v>
      </x:c>
      <x:c r="C107" s="12" t="str">
        <x:v>CONTINUE</x:v>
      </x:c>
      <x:c r="D107" s="18" t="n">
        <x:v>3</x:v>
      </x:c>
      <x:c r="E107" s="12" t="str">
        <x:v>LOCKED</x:v>
      </x:c>
      <x:c r="F107" s="12" t="str">
        <x:v>negative/control example</x:v>
      </x:c>
      <x:c r="G107" s="13" t="b">
        <x:v>0</x:v>
      </x:c>
      <x:c r="H107" s="13" t="b">
        <x:v>1</x:v>
      </x:c>
      <x:c r="I107" s="16"/>
      <x:c r="J107" s="18" t="n">
        <x:v>1481</x:v>
      </x:c>
      <x:c r="K107" s="16" t="n">
        <x:v>170.22299999999996</x:v>
      </x:c>
      <x:c r="L107" s="12" t="str">
        <x:v>Pass</x:v>
      </x:c>
      <x:c r="M107" s="12" t="str">
        <x:v>Bayer Leverkusen</x:v>
      </x:c>
      <x:c r="N107" s="12"/>
      <x:c r="O107" s="16" t="n">
        <x:v>116.3</x:v>
      </x:c>
      <x:c r="P107" s="16" t="n">
        <x:v>90.6</x:v>
      </x:c>
      <x:c r="Q107" s="16" t="n">
        <x:v>116.3</x:v>
      </x:c>
      <x:c r="R107" s="16" t="n">
        <x:v>0</x:v>
      </x:c>
      <x:c r="S107" s="16" t="n">
        <x:v>-1.1000000000000085</x:v>
      </x:c>
      <x:c r="T107" s="18"/>
      <x:c r="U107" s="18"/>
      <x:c r="V107" s="16" t="n">
        <x:v>0</x:v>
      </x:c>
      <x:c r="W107" s="18" t="n">
        <x:v>0</x:v>
      </x:c>
      <x:c r="X107" s="12"/>
      <x:c r="Y107" s="16"/>
      <x:c r="Z107" s="18"/>
      <x:c r="AA107" s="12"/>
      <x:c r="AB107" s="12" t="str">
        <x:v>[60,80)</x:v>
      </x:c>
      <x:c r="AC107" s="18" t="n">
        <x:v>1480</x:v>
      </x:c>
      <x:c r="AD107" s="18" t="n">
        <x:v>1483</x:v>
      </x:c>
      <x:c r="AE107" s="12" t="str">
        <x:v>New Leverkusen episode after later regain.</x:v>
      </x:c>
      <x:c r="AF107" s="12" t="str">
        <x:v>review sampling criterion: shortest/longest observed record-peak recovery</x:v>
      </x:c>
      <x:c r="AG107" s="18" t="n">
        <x:v>3895153</x:v>
      </x:c>
      <x:c r="AH107" s="18" t="n">
        <x:v>1</x:v>
      </x:c>
      <x:c r="AI107" s="18" t="n">
        <x:v>43</x:v>
      </x:c>
      <x:c r="AJ107" t="n">
        <x:v>0</x:v>
      </x:c>
    </x:row>
    <x:row r="108">
      <x:c r="A108" s="12" t="str">
        <x:v>C19</x:v>
      </x:c>
      <x:c r="B108" s="12" t="str">
        <x:v>C19_M01</x:v>
      </x:c>
      <x:c r="C108" s="12" t="str">
        <x:v>CONTINUE</x:v>
      </x:c>
      <x:c r="D108" s="18" t="n">
        <x:v>3</x:v>
      </x:c>
      <x:c r="E108" s="12" t="str">
        <x:v>LOCKED</x:v>
      </x:c>
      <x:c r="F108" s="12" t="str">
        <x:v>negative/control example</x:v>
      </x:c>
      <x:c r="G108" s="13" t="b">
        <x:v>1</x:v>
      </x:c>
      <x:c r="H108" s="13" t="b">
        <x:v>0</x:v>
      </x:c>
      <x:c r="I108" s="16"/>
      <x:c r="J108" s="18" t="n">
        <x:v>101</x:v>
      </x:c>
      <x:c r="K108" s="16" t="n">
        <x:v>1.416000000000011</x:v>
      </x:c>
      <x:c r="L108" s="12" t="str">
        <x:v>Pass</x:v>
      </x:c>
      <x:c r="M108" s="12" t="str">
        <x:v>Bayer Leverkusen</x:v>
      </x:c>
      <x:c r="N108" s="12"/>
      <x:c r="O108" s="16" t="n">
        <x:v>99.4</x:v>
      </x:c>
      <x:c r="P108" s="16" t="n">
        <x:v>100</x:v>
      </x:c>
      <x:c r="Q108" s="16" t="n">
        <x:v>100</x:v>
      </x:c>
      <x:c r="R108" s="16" t="n">
        <x:v>0.5999999999999943</x:v>
      </x:c>
      <x:c r="S108" s="16" t="n">
        <x:v>-0.5999999999999943</x:v>
      </x:c>
      <x:c r="T108" s="18" t="n">
        <x:v>1</x:v>
      </x:c>
      <x:c r="U108" s="18" t="n">
        <x:v>1</x:v>
      </x:c>
      <x:c r="V108" s="16" t="n">
        <x:v>0</x:v>
      </x:c>
      <x:c r="W108" s="18" t="n">
        <x:v>0</x:v>
      </x:c>
      <x:c r="X108" s="12" t="str">
        <x:v>False</x:v>
      </x:c>
      <x:c r="Y108" s="16"/>
      <x:c r="Z108" s="18"/>
      <x:c r="AA108" s="12" t="str">
        <x:v>False</x:v>
      </x:c>
      <x:c r="AB108" s="12" t="str">
        <x:v>[80,100)</x:v>
      </x:c>
      <x:c r="AC108" s="18" t="n">
        <x:v>100</x:v>
      </x:c>
      <x:c r="AD108" s="18" t="n">
        <x:v>103</x:v>
      </x:c>
      <x:c r="AE108" s="12" t="str"/>
      <x:c r="AF108" s="12" t="str">
        <x:v>review sampling criterion: first negative vector (no magnitude minimum)</x:v>
      </x:c>
      <x:c r="AG108" s="18" t="n">
        <x:v>3895052</x:v>
      </x:c>
      <x:c r="AH108" s="18" t="n">
        <x:v>1</x:v>
      </x:c>
      <x:c r="AI108" s="18" t="n">
        <x:v>6</x:v>
      </x:c>
      <x:c r="AJ108" t="n">
        <x:v>1</x:v>
      </x:c>
    </x:row>
    <x:row r="109">
      <x:c r="A109" s="12" t="str">
        <x:v>C20</x:v>
      </x:c>
      <x:c r="B109" s="12" t="str">
        <x:v>C20_M01</x:v>
      </x:c>
      <x:c r="C109" s="12" t="str">
        <x:v>CONTINUE</x:v>
      </x:c>
      <x:c r="D109" s="18" t="n">
        <x:v>3</x:v>
      </x:c>
      <x:c r="E109" s="12" t="str">
        <x:v>LOCKED</x:v>
      </x:c>
      <x:c r="F109" s="12" t="str">
        <x:v>negative/control example</x:v>
      </x:c>
      <x:c r="G109" s="13" t="b">
        <x:v>1</x:v>
      </x:c>
      <x:c r="H109" s="13" t="b">
        <x:v>0</x:v>
      </x:c>
      <x:c r="I109" s="16"/>
      <x:c r="J109" s="18" t="n">
        <x:v>127</x:v>
      </x:c>
      <x:c r="K109" s="16" t="n">
        <x:v>7.328000000000003</x:v>
      </x:c>
      <x:c r="L109" s="12" t="str">
        <x:v>Pass</x:v>
      </x:c>
      <x:c r="M109" s="12" t="str">
        <x:v>Bayer Leverkusen</x:v>
      </x:c>
      <x:c r="N109" s="12"/>
      <x:c r="O109" s="16" t="n">
        <x:v>98</x:v>
      </x:c>
      <x:c r="P109" s="16" t="n">
        <x:v>93.2</x:v>
      </x:c>
      <x:c r="Q109" s="16" t="n">
        <x:v>114.9</x:v>
      </x:c>
      <x:c r="R109" s="16" t="n">
        <x:v>16.900000000000006</x:v>
      </x:c>
      <x:c r="S109" s="16" t="n">
        <x:v>0</x:v>
      </x:c>
      <x:c r="T109" s="18"/>
      <x:c r="U109" s="18"/>
      <x:c r="V109" s="16" t="n">
        <x:v>4.058000000000021</x:v>
      </x:c>
      <x:c r="W109" s="18" t="n">
        <x:v>3</x:v>
      </x:c>
      <x:c r="X109" s="12" t="str">
        <x:v>False</x:v>
      </x:c>
      <x:c r="Y109" s="16"/>
      <x:c r="Z109" s="18"/>
      <x:c r="AA109" s="12" t="str">
        <x:v>False</x:v>
      </x:c>
      <x:c r="AB109" s="12" t="str">
        <x:v>[80,100)</x:v>
      </x:c>
      <x:c r="AC109" s="18" t="n">
        <x:v>124</x:v>
      </x:c>
      <x:c r="AD109" s="18"/>
      <x:c r="AE109" s="12" t="str">
        <x:v>Apparent retreat caused by failed pass/contest; M01 itself progresses.</x:v>
      </x:c>
      <x:c r="AF109" s="12" t="str">
        <x:v>review sampling criterion: peak_retreat&gt;=15; review sampling criterion: peak_retreat&gt;=5</x:v>
      </x:c>
      <x:c r="AG109" s="18" t="n">
        <x:v>3895052</x:v>
      </x:c>
      <x:c r="AH109" s="18" t="n">
        <x:v>1</x:v>
      </x:c>
      <x:c r="AI109" s="18" t="n">
        <x:v>9</x:v>
      </x:c>
      <x:c r="AJ109" t="n">
        <x:v>1</x:v>
      </x:c>
    </x:row>
    <x:row r="110">
      <x:c r="A110" s="12" t="str">
        <x:v>C21</x:v>
      </x:c>
      <x:c r="B110" s="12" t="str">
        <x:v>C21_M01</x:v>
      </x:c>
      <x:c r="C110" s="12" t="str">
        <x:v>CONTINUE</x:v>
      </x:c>
      <x:c r="D110" s="18" t="n">
        <x:v>3</x:v>
      </x:c>
      <x:c r="E110" s="12" t="str">
        <x:v>LOCKED</x:v>
      </x:c>
      <x:c r="F110" s="12" t="str">
        <x:v>negative/control example</x:v>
      </x:c>
      <x:c r="G110" s="13" t="b">
        <x:v>1</x:v>
      </x:c>
      <x:c r="H110" s="13" t="b">
        <x:v>0</x:v>
      </x:c>
      <x:c r="I110" s="16"/>
      <x:c r="J110" s="18" t="n">
        <x:v>261</x:v>
      </x:c>
      <x:c r="K110" s="16" t="n">
        <x:v>3.752999999999986</x:v>
      </x:c>
      <x:c r="L110" s="12" t="str">
        <x:v>Pass</x:v>
      </x:c>
      <x:c r="M110" s="12" t="str">
        <x:v>Bayer Leverkusen</x:v>
      </x:c>
      <x:c r="N110" s="12"/>
      <x:c r="O110" s="16" t="n">
        <x:v>62.9</x:v>
      </x:c>
      <x:c r="P110" s="16" t="n">
        <x:v>69.5</x:v>
      </x:c>
      <x:c r="Q110" s="16" t="n">
        <x:v>69.5</x:v>
      </x:c>
      <x:c r="R110" s="16" t="n">
        <x:v>6.600000000000001</x:v>
      </x:c>
      <x:c r="S110" s="16" t="n">
        <x:v>-6.600000000000001</x:v>
      </x:c>
      <x:c r="T110" s="18" t="n">
        <x:v>1</x:v>
      </x:c>
      <x:c r="U110" s="18" t="n">
        <x:v>1</x:v>
      </x:c>
      <x:c r="V110" s="16" t="n">
        <x:v>0</x:v>
      </x:c>
      <x:c r="W110" s="18" t="n">
        <x:v>0</x:v>
      </x:c>
      <x:c r="X110" s="12" t="str">
        <x:v>True</x:v>
      </x:c>
      <x:c r="Y110" s="16" t="n">
        <x:v>0.4530000000000314</x:v>
      </x:c>
      <x:c r="Z110" s="18" t="n">
        <x:v>2</x:v>
      </x:c>
      <x:c r="AA110" s="12" t="str">
        <x:v>True</x:v>
      </x:c>
      <x:c r="AB110" s="12" t="str">
        <x:v>[30,60)</x:v>
      </x:c>
      <x:c r="AC110" s="18" t="n">
        <x:v>259</x:v>
      </x:c>
      <x:c r="AD110" s="18" t="n">
        <x:v>263</x:v>
      </x:c>
      <x:c r="AE110" s="12" t="str">
        <x:v>Small backward pass, immediately recovered.</x:v>
      </x:c>
      <x:c r="AF110" s="12" t="str">
        <x:v>review sampling criterion: first negative vector (no magnitude minimum); review sampling criterion: peak_retreat&gt;=5; review sampling criterion: single_negative&gt;=5</x:v>
      </x:c>
      <x:c r="AG110" s="18" t="n">
        <x:v>3895052</x:v>
      </x:c>
      <x:c r="AH110" s="18" t="n">
        <x:v>1</x:v>
      </x:c>
      <x:c r="AI110" s="18" t="n">
        <x:v>15</x:v>
      </x:c>
      <x:c r="AJ110" t="n">
        <x:v>1</x:v>
      </x:c>
    </x:row>
    <x:row r="111">
      <x:c r="A111" s="12" t="str">
        <x:v>C22</x:v>
      </x:c>
      <x:c r="B111" s="12" t="str">
        <x:v>C22_M02</x:v>
      </x:c>
      <x:c r="C111" s="12" t="str">
        <x:v>CONTINUE</x:v>
      </x:c>
      <x:c r="D111" s="18" t="n">
        <x:v>3</x:v>
      </x:c>
      <x:c r="E111" s="12" t="str">
        <x:v>LOCKED</x:v>
      </x:c>
      <x:c r="F111" s="12" t="str">
        <x:v>negative/control example</x:v>
      </x:c>
      <x:c r="G111" s="13" t="b">
        <x:v>0</x:v>
      </x:c>
      <x:c r="H111" s="13" t="b">
        <x:v>0</x:v>
      </x:c>
      <x:c r="I111" s="16"/>
      <x:c r="J111" s="18" t="n">
        <x:v>413</x:v>
      </x:c>
      <x:c r="K111" s="16" t="n">
        <x:v>8.725999999999999</x:v>
      </x:c>
      <x:c r="L111" s="12" t="str">
        <x:v>Pressure</x:v>
      </x:c>
      <x:c r="M111" s="12" t="str">
        <x:v>RB Leipzig</x:v>
      </x:c>
      <x:c r="N111" s="12"/>
      <x:c r="O111" s="16"/>
      <x:c r="P111" s="16"/>
      <x:c r="Q111" s="16" t="n">
        <x:v>66.5</x:v>
      </x:c>
      <x:c r="R111" s="16"/>
      <x:c r="S111" s="16" t="n">
        <x:v>0</x:v>
      </x:c>
      <x:c r="T111" s="18"/>
      <x:c r="U111" s="18"/>
      <x:c r="V111" s="16" t="n">
        <x:v>5.557999999999993</x:v>
      </x:c>
      <x:c r="W111" s="18" t="n">
        <x:v>1</x:v>
      </x:c>
      <x:c r="X111" s="12"/>
      <x:c r="Y111" s="16"/>
      <x:c r="Z111" s="18"/>
      <x:c r="AA111" s="12"/>
      <x:c r="AB111" s="12" t="str">
        <x:v>[0,30)</x:v>
      </x:c>
      <x:c r="AC111" s="18" t="n">
        <x:v>412</x:v>
      </x:c>
      <x:c r="AD111" s="18" t="n">
        <x:v>416</x:v>
      </x:c>
      <x:c r="AE111" s="12" t="str"/>
      <x:c r="AF111" s="12" t="str">
        <x:v>review sampling criterion: first full-event gap&gt;3s</x:v>
      </x:c>
      <x:c r="AG111" s="18" t="n">
        <x:v>3895052</x:v>
      </x:c>
      <x:c r="AH111" s="18" t="n">
        <x:v>1</x:v>
      </x:c>
      <x:c r="AI111" s="18" t="n">
        <x:v>19</x:v>
      </x:c>
      <x:c r="AJ111" t="n">
        <x:v>0</x:v>
      </x:c>
    </x:row>
    <x:row r="112">
      <x:c r="A112" s="12" t="str">
        <x:v>C22</x:v>
      </x:c>
      <x:c r="B112" s="12" t="str">
        <x:v>C22_M03</x:v>
      </x:c>
      <x:c r="C112" s="12" t="str">
        <x:v>CONTINUE</x:v>
      </x:c>
      <x:c r="D112" s="18" t="n">
        <x:v>3</x:v>
      </x:c>
      <x:c r="E112" s="12" t="str">
        <x:v>LOCKED</x:v>
      </x:c>
      <x:c r="F112" s="12" t="str">
        <x:v>negative/control example</x:v>
      </x:c>
      <x:c r="G112" s="13" t="b">
        <x:v>1</x:v>
      </x:c>
      <x:c r="H112" s="13" t="b">
        <x:v>0</x:v>
      </x:c>
      <x:c r="I112" s="16"/>
      <x:c r="J112" s="18" t="n">
        <x:v>420</x:v>
      </x:c>
      <x:c r="K112" s="16" t="n">
        <x:v>11.918999999999983</x:v>
      </x:c>
      <x:c r="L112" s="12" t="str">
        <x:v>Pass</x:v>
      </x:c>
      <x:c r="M112" s="12" t="str">
        <x:v>Bayer Leverkusen</x:v>
      </x:c>
      <x:c r="N112" s="12"/>
      <x:c r="O112" s="16" t="n">
        <x:v>63.5</x:v>
      </x:c>
      <x:c r="P112" s="16" t="n">
        <x:v>70.5</x:v>
      </x:c>
      <x:c r="Q112" s="16" t="n">
        <x:v>70.5</x:v>
      </x:c>
      <x:c r="R112" s="16" t="n">
        <x:v>7</x:v>
      </x:c>
      <x:c r="S112" s="16" t="n">
        <x:v>-7</x:v>
      </x:c>
      <x:c r="T112" s="18" t="n">
        <x:v>1</x:v>
      </x:c>
      <x:c r="U112" s="18" t="n">
        <x:v>1</x:v>
      </x:c>
      <x:c r="V112" s="16" t="n">
        <x:v>0</x:v>
      </x:c>
      <x:c r="W112" s="18" t="n">
        <x:v>0</x:v>
      </x:c>
      <x:c r="X112" s="12" t="str">
        <x:v>True</x:v>
      </x:c>
      <x:c r="Y112" s="16" t="n">
        <x:v>8.192999999999984</x:v>
      </x:c>
      <x:c r="Z112" s="18" t="n">
        <x:v>8</x:v>
      </x:c>
      <x:c r="AA112" s="12" t="str">
        <x:v>True</x:v>
      </x:c>
      <x:c r="AB112" s="12" t="str">
        <x:v>[0,30)</x:v>
      </x:c>
      <x:c r="AC112" s="18" t="n">
        <x:v>418</x:v>
      </x:c>
      <x:c r="AD112" s="18" t="n">
        <x:v>422</x:v>
      </x:c>
      <x:c r="AE112" s="12" t="str"/>
      <x:c r="AF112" s="12" t="str">
        <x:v>review sampling criterion: first negative vector (no magnitude minimum); review sampling criterion: peak_retreat&gt;=5; review sampling criterion: single_negative&gt;=5</x:v>
      </x:c>
      <x:c r="AG112" s="18" t="n">
        <x:v>3895052</x:v>
      </x:c>
      <x:c r="AH112" s="18" t="n">
        <x:v>1</x:v>
      </x:c>
      <x:c r="AI112" s="18" t="n">
        <x:v>19</x:v>
      </x:c>
      <x:c r="AJ112" t="n">
        <x:v>1</x:v>
      </x:c>
    </x:row>
    <x:row r="113">
      <x:c r="A113" s="12" t="str">
        <x:v>C22</x:v>
      </x:c>
      <x:c r="B113" s="12" t="str">
        <x:v>C22_M04</x:v>
      </x:c>
      <x:c r="C113" s="12" t="str">
        <x:v>CONTINUE</x:v>
      </x:c>
      <x:c r="D113" s="18" t="n">
        <x:v>3</x:v>
      </x:c>
      <x:c r="E113" s="12" t="str">
        <x:v>LOCKED</x:v>
      </x:c>
      <x:c r="F113" s="12" t="str">
        <x:v>negative/control example</x:v>
      </x:c>
      <x:c r="G113" s="13" t="b">
        <x:v>1</x:v>
      </x:c>
      <x:c r="H113" s="13" t="b">
        <x:v>0</x:v>
      </x:c>
      <x:c r="I113" s="16"/>
      <x:c r="J113" s="18" t="n">
        <x:v>422</x:v>
      </x:c>
      <x:c r="K113" s="16" t="n">
        <x:v>13.423999999999978</x:v>
      </x:c>
      <x:c r="L113" s="12" t="str">
        <x:v>Carry</x:v>
      </x:c>
      <x:c r="M113" s="12" t="str">
        <x:v>Bayer Leverkusen</x:v>
      </x:c>
      <x:c r="N113" s="12"/>
      <x:c r="O113" s="16" t="n">
        <x:v>63.7</x:v>
      </x:c>
      <x:c r="P113" s="16" t="n">
        <x:v>63.5</x:v>
      </x:c>
      <x:c r="Q113" s="16" t="n">
        <x:v>70.5</x:v>
      </x:c>
      <x:c r="R113" s="16" t="n">
        <x:v>6.799999999999997</x:v>
      </x:c>
      <x:c r="S113" s="16" t="n">
        <x:v>-7</x:v>
      </x:c>
      <x:c r="T113" s="18"/>
      <x:c r="U113" s="18"/>
      <x:c r="V113" s="16" t="n">
        <x:v>1.5049999999999955</x:v>
      </x:c>
      <x:c r="W113" s="18" t="n">
        <x:v>2</x:v>
      </x:c>
      <x:c r="X113" s="12" t="str">
        <x:v>True</x:v>
      </x:c>
      <x:c r="Y113" s="16" t="n">
        <x:v>6.687999999999988</x:v>
      </x:c>
      <x:c r="Z113" s="18" t="n">
        <x:v>6</x:v>
      </x:c>
      <x:c r="AA113" s="12" t="str">
        <x:v>True</x:v>
      </x:c>
      <x:c r="AB113" s="12" t="str">
        <x:v>[0,30)</x:v>
      </x:c>
      <x:c r="AC113" s="18" t="n">
        <x:v>420</x:v>
      </x:c>
      <x:c r="AD113" s="18" t="n">
        <x:v>425</x:v>
      </x:c>
      <x:c r="AE113" s="12" t="str"/>
      <x:c r="AF113" s="12" t="str">
        <x:v>review sampling criterion: first negative-to-positive action turn</x:v>
      </x:c>
      <x:c r="AG113" s="18" t="n">
        <x:v>3895052</x:v>
      </x:c>
      <x:c r="AH113" s="18" t="n">
        <x:v>1</x:v>
      </x:c>
      <x:c r="AI113" s="18" t="n">
        <x:v>19</x:v>
      </x:c>
      <x:c r="AJ113" t="n">
        <x:v>1</x:v>
      </x:c>
    </x:row>
    <x:row r="114">
      <x:c r="A114" s="12" t="str">
        <x:v>C22</x:v>
      </x:c>
      <x:c r="B114" s="12" t="str">
        <x:v>C22_M05</x:v>
      </x:c>
      <x:c r="C114" s="12" t="str">
        <x:v>CONTINUE</x:v>
      </x:c>
      <x:c r="D114" s="18" t="n">
        <x:v>3</x:v>
      </x:c>
      <x:c r="E114" s="12" t="str">
        <x:v>LOCKED</x:v>
      </x:c>
      <x:c r="F114" s="12" t="str">
        <x:v>negative/control example</x:v>
      </x:c>
      <x:c r="G114" s="13" t="b">
        <x:v>1</x:v>
      </x:c>
      <x:c r="H114" s="13" t="b">
        <x:v>0</x:v>
      </x:c>
      <x:c r="I114" s="16"/>
      <x:c r="J114" s="18" t="n">
        <x:v>425</x:v>
      </x:c>
      <x:c r="K114" s="16" t="n">
        <x:v>16.259000000000015</x:v>
      </x:c>
      <x:c r="L114" s="12" t="str">
        <x:v>Pass</x:v>
      </x:c>
      <x:c r="M114" s="12" t="str">
        <x:v>Bayer Leverkusen</x:v>
      </x:c>
      <x:c r="N114" s="12"/>
      <x:c r="O114" s="16" t="n">
        <x:v>49.6</x:v>
      </x:c>
      <x:c r="P114" s="16" t="n">
        <x:v>48.8</x:v>
      </x:c>
      <x:c r="Q114" s="16" t="n">
        <x:v>70.5</x:v>
      </x:c>
      <x:c r="R114" s="16" t="n">
        <x:v>20.9</x:v>
      </x:c>
      <x:c r="S114" s="16" t="n">
        <x:v>-7</x:v>
      </x:c>
      <x:c r="T114" s="18"/>
      <x:c r="U114" s="18"/>
      <x:c r="V114" s="16" t="n">
        <x:v>4.340000000000032</x:v>
      </x:c>
      <x:c r="W114" s="18" t="n">
        <x:v>5</x:v>
      </x:c>
      <x:c r="X114" s="12" t="str">
        <x:v>True</x:v>
      </x:c>
      <x:c r="Y114" s="16" t="n">
        <x:v>3.852999999999952</x:v>
      </x:c>
      <x:c r="Z114" s="18" t="n">
        <x:v>3</x:v>
      </x:c>
      <x:c r="AA114" s="12" t="str">
        <x:v>True</x:v>
      </x:c>
      <x:c r="AB114" s="12" t="str">
        <x:v>[0,30)</x:v>
      </x:c>
      <x:c r="AC114" s="18" t="n">
        <x:v>422</x:v>
      </x:c>
      <x:c r="AD114" s="18" t="n">
        <x:v>427</x:v>
      </x:c>
      <x:c r="AE114" s="12" t="str">
        <x:v>Reset-like warning evidence, but rapid recovery means CONTINUE.</x:v>
      </x:c>
      <x:c r="AF114" s="12" t="str">
        <x:v>review sampling criterion: peak_retreat&gt;=15</x:v>
      </x:c>
      <x:c r="AG114" s="18" t="n">
        <x:v>3895052</x:v>
      </x:c>
      <x:c r="AH114" s="18" t="n">
        <x:v>1</x:v>
      </x:c>
      <x:c r="AI114" s="18" t="n">
        <x:v>19</x:v>
      </x:c>
      <x:c r="AJ114" t="n">
        <x:v>1</x:v>
      </x:c>
    </x:row>
    <x:row r="115">
      <x:c r="A115" s="12" t="str">
        <x:v>C22</x:v>
      </x:c>
      <x:c r="B115" s="12" t="str">
        <x:v>C22_M06</x:v>
      </x:c>
      <x:c r="C115" s="12" t="str">
        <x:v>CONTINUE</x:v>
      </x:c>
      <x:c r="D115" s="18" t="n">
        <x:v>3</x:v>
      </x:c>
      <x:c r="E115" s="12" t="str">
        <x:v>LOCKED</x:v>
      </x:c>
      <x:c r="F115" s="12" t="str">
        <x:v>negative/control example</x:v>
      </x:c>
      <x:c r="G115" s="13" t="b">
        <x:v>1</x:v>
      </x:c>
      <x:c r="H115" s="13" t="b">
        <x:v>0</x:v>
      </x:c>
      <x:c r="I115" s="16"/>
      <x:c r="J115" s="18" t="n">
        <x:v>428</x:v>
      </x:c>
      <x:c r="K115" s="16" t="n">
        <x:v>20.111999999999966</x:v>
      </x:c>
      <x:c r="L115" s="12" t="str">
        <x:v>Pass</x:v>
      </x:c>
      <x:c r="M115" s="12" t="str">
        <x:v>Bayer Leverkusen</x:v>
      </x:c>
      <x:c r="N115" s="12"/>
      <x:c r="O115" s="16" t="n">
        <x:v>85.2</x:v>
      </x:c>
      <x:c r="P115" s="16" t="n">
        <x:v>62.3</x:v>
      </x:c>
      <x:c r="Q115" s="16" t="n">
        <x:v>85.2</x:v>
      </x:c>
      <x:c r="R115" s="16" t="n">
        <x:v>0</x:v>
      </x:c>
      <x:c r="S115" s="16" t="n">
        <x:v>0</x:v>
      </x:c>
      <x:c r="T115" s="18"/>
      <x:c r="U115" s="18"/>
      <x:c r="V115" s="16" t="n">
        <x:v>0</x:v>
      </x:c>
      <x:c r="W115" s="18" t="n">
        <x:v>0</x:v>
      </x:c>
      <x:c r="X115" s="12"/>
      <x:c r="Y115" s="16"/>
      <x:c r="Z115" s="18"/>
      <x:c r="AA115" s="12"/>
      <x:c r="AB115" s="12" t="str">
        <x:v>[0,30)</x:v>
      </x:c>
      <x:c r="AC115" s="18" t="n">
        <x:v>427</x:v>
      </x:c>
      <x:c r="AD115" s="18" t="n">
        <x:v>430</x:v>
      </x:c>
      <x:c r="AE115" s="12" t="str"/>
      <x:c r="AF115" s="12" t="str">
        <x:v>review sampling criterion: shortest/longest observed record-peak recovery</x:v>
      </x:c>
      <x:c r="AG115" s="18" t="n">
        <x:v>3895052</x:v>
      </x:c>
      <x:c r="AH115" s="18" t="n">
        <x:v>1</x:v>
      </x:c>
      <x:c r="AI115" s="18" t="n">
        <x:v>19</x:v>
      </x:c>
      <x:c r="AJ115" t="n">
        <x:v>1</x:v>
      </x:c>
    </x:row>
    <x:row r="116">
      <x:c r="A116" s="12" t="str">
        <x:v>C23</x:v>
      </x:c>
      <x:c r="B116" s="12" t="str">
        <x:v>C23_M01</x:v>
      </x:c>
      <x:c r="C116" s="12" t="str">
        <x:v>CONTINUE</x:v>
      </x:c>
      <x:c r="D116" s="18" t="n">
        <x:v>3</x:v>
      </x:c>
      <x:c r="E116" s="12" t="str">
        <x:v>LOCKED</x:v>
      </x:c>
      <x:c r="F116" s="12" t="str">
        <x:v>negative/control example</x:v>
      </x:c>
      <x:c r="G116" s="13" t="b">
        <x:v>1</x:v>
      </x:c>
      <x:c r="H116" s="13" t="b">
        <x:v>0</x:v>
      </x:c>
      <x:c r="I116" s="16"/>
      <x:c r="J116" s="18" t="n">
        <x:v>486</x:v>
      </x:c>
      <x:c r="K116" s="16" t="n">
        <x:v>3.9329999999999927</x:v>
      </x:c>
      <x:c r="L116" s="12" t="str">
        <x:v>Carry</x:v>
      </x:c>
      <x:c r="M116" s="12" t="str">
        <x:v>Bayer Leverkusen</x:v>
      </x:c>
      <x:c r="N116" s="12"/>
      <x:c r="O116" s="16" t="n">
        <x:v>53.3</x:v>
      </x:c>
      <x:c r="P116" s="16" t="n">
        <x:v>59.3</x:v>
      </x:c>
      <x:c r="Q116" s="16" t="n">
        <x:v>59.3</x:v>
      </x:c>
      <x:c r="R116" s="16" t="n">
        <x:v>6</x:v>
      </x:c>
      <x:c r="S116" s="16" t="n">
        <x:v>-6</x:v>
      </x:c>
      <x:c r="T116" s="18" t="n">
        <x:v>1</x:v>
      </x:c>
      <x:c r="U116" s="18" t="n">
        <x:v>1</x:v>
      </x:c>
      <x:c r="V116" s="16" t="n">
        <x:v>0</x:v>
      </x:c>
      <x:c r="W116" s="18" t="n">
        <x:v>0</x:v>
      </x:c>
      <x:c r="X116" s="12" t="str">
        <x:v>True</x:v>
      </x:c>
      <x:c r="Y116" s="16" t="n">
        <x:v>1.538000000000011</x:v>
      </x:c>
      <x:c r="Z116" s="18" t="n">
        <x:v>2</x:v>
      </x:c>
      <x:c r="AA116" s="12" t="str">
        <x:v>True</x:v>
      </x:c>
      <x:c r="AB116" s="12" t="str">
        <x:v>[30,60)</x:v>
      </x:c>
      <x:c r="AC116" s="18" t="n">
        <x:v>483</x:v>
      </x:c>
      <x:c r="AD116" s="18" t="n">
        <x:v>488</x:v>
      </x:c>
      <x:c r="AE116" s="12" t="str"/>
      <x:c r="AF116" s="12" t="str">
        <x:v>review sampling criterion: first negative vector (no magnitude minimum); review sampling criterion: peak_retreat&gt;=5; review sampling criterion: single_negative&gt;=5</x:v>
      </x:c>
      <x:c r="AG116" s="18" t="n">
        <x:v>3895052</x:v>
      </x:c>
      <x:c r="AH116" s="18" t="n">
        <x:v>1</x:v>
      </x:c>
      <x:c r="AI116" s="18" t="n">
        <x:v>23</x:v>
      </x:c>
      <x:c r="AJ116" t="n">
        <x:v>1</x:v>
      </x:c>
    </x:row>
    <x:row r="117">
      <x:c r="A117" s="12" t="str">
        <x:v>C23</x:v>
      </x:c>
      <x:c r="B117" s="12" t="str">
        <x:v>C23_M02</x:v>
      </x:c>
      <x:c r="C117" s="12" t="str">
        <x:v>CONTINUE</x:v>
      </x:c>
      <x:c r="D117" s="18" t="n">
        <x:v>3</x:v>
      </x:c>
      <x:c r="E117" s="12" t="str">
        <x:v>LOCKED</x:v>
      </x:c>
      <x:c r="F117" s="12" t="str">
        <x:v>negative/control example</x:v>
      </x:c>
      <x:c r="G117" s="13" t="b">
        <x:v>1</x:v>
      </x:c>
      <x:c r="H117" s="13" t="b">
        <x:v>0</x:v>
      </x:c>
      <x:c r="I117" s="16"/>
      <x:c r="J117" s="18" t="n">
        <x:v>488</x:v>
      </x:c>
      <x:c r="K117" s="16" t="n">
        <x:v>5.471000000000004</x:v>
      </x:c>
      <x:c r="L117" s="12" t="str">
        <x:v>Carry</x:v>
      </x:c>
      <x:c r="M117" s="12" t="str">
        <x:v>Bayer Leverkusen</x:v>
      </x:c>
      <x:c r="N117" s="12"/>
      <x:c r="O117" s="16" t="n">
        <x:v>63.5</x:v>
      </x:c>
      <x:c r="P117" s="16" t="n">
        <x:v>53.3</x:v>
      </x:c>
      <x:c r="Q117" s="16" t="n">
        <x:v>63.5</x:v>
      </x:c>
      <x:c r="R117" s="16" t="n">
        <x:v>0</x:v>
      </x:c>
      <x:c r="S117" s="16" t="n">
        <x:v>-6</x:v>
      </x:c>
      <x:c r="T117" s="18"/>
      <x:c r="U117" s="18"/>
      <x:c r="V117" s="16" t="n">
        <x:v>0</x:v>
      </x:c>
      <x:c r="W117" s="18" t="n">
        <x:v>0</x:v>
      </x:c>
      <x:c r="X117" s="12"/>
      <x:c r="Y117" s="16"/>
      <x:c r="Z117" s="18"/>
      <x:c r="AA117" s="12"/>
      <x:c r="AB117" s="12" t="str">
        <x:v>[30,60)</x:v>
      </x:c>
      <x:c r="AC117" s="18" t="n">
        <x:v>486</x:v>
      </x:c>
      <x:c r="AD117" s="18" t="n">
        <x:v>489</x:v>
      </x:c>
      <x:c r="AE117" s="12" t="str"/>
      <x:c r="AF117" s="12" t="str">
        <x:v>review sampling criterion: first negative-to-positive action turn; review sampling criterion: shortest/longest observed record-peak recovery</x:v>
      </x:c>
      <x:c r="AG117" s="18" t="n">
        <x:v>3895052</x:v>
      </x:c>
      <x:c r="AH117" s="18" t="n">
        <x:v>1</x:v>
      </x:c>
      <x:c r="AI117" s="18" t="n">
        <x:v>23</x:v>
      </x:c>
      <x:c r="AJ117" t="n">
        <x:v>1</x:v>
      </x:c>
    </x:row>
    <x:row r="118">
      <x:c r="A118" s="12" t="str">
        <x:v>C24</x:v>
      </x:c>
      <x:c r="B118" s="12" t="str">
        <x:v>C24_M02</x:v>
      </x:c>
      <x:c r="C118" s="12" t="str">
        <x:v>CONTINUE</x:v>
      </x:c>
      <x:c r="D118" s="18" t="n">
        <x:v>3</x:v>
      </x:c>
      <x:c r="E118" s="12" t="str">
        <x:v>LOCKED</x:v>
      </x:c>
      <x:c r="F118" s="12" t="str">
        <x:v>negative/control example</x:v>
      </x:c>
      <x:c r="G118" s="13" t="b">
        <x:v>1</x:v>
      </x:c>
      <x:c r="H118" s="13" t="b">
        <x:v>0</x:v>
      </x:c>
      <x:c r="I118" s="16"/>
      <x:c r="J118" s="18" t="n">
        <x:v>1940</x:v>
      </x:c>
      <x:c r="K118" s="16" t="n">
        <x:v>2.744</x:v>
      </x:c>
      <x:c r="L118" s="12" t="str">
        <x:v>Pass</x:v>
      </x:c>
      <x:c r="M118" s="12" t="str">
        <x:v>Bayer Leverkusen</x:v>
      </x:c>
      <x:c r="N118" s="12"/>
      <x:c r="O118" s="16" t="n">
        <x:v>93.2</x:v>
      </x:c>
      <x:c r="P118" s="16" t="n">
        <x:v>46.8</x:v>
      </x:c>
      <x:c r="Q118" s="16" t="n">
        <x:v>93.2</x:v>
      </x:c>
      <x:c r="R118" s="16" t="n">
        <x:v>0</x:v>
      </x:c>
      <x:c r="S118" s="16" t="n">
        <x:v>-19.799999999999997</x:v>
      </x:c>
      <x:c r="T118" s="18"/>
      <x:c r="U118" s="18"/>
      <x:c r="V118" s="16" t="n">
        <x:v>0</x:v>
      </x:c>
      <x:c r="W118" s="18" t="n">
        <x:v>0</x:v>
      </x:c>
      <x:c r="X118" s="12"/>
      <x:c r="Y118" s="16"/>
      <x:c r="Z118" s="18"/>
      <x:c r="AA118" s="12"/>
      <x:c r="AB118" s="12" t="str">
        <x:v>[60,80)</x:v>
      </x:c>
      <x:c r="AC118" s="18" t="n">
        <x:v>1937</x:v>
      </x:c>
      <x:c r="AD118" s="18"/>
      <x:c r="AE118" s="12" t="str"/>
      <x:c r="AF118" s="12" t="str">
        <x:v>review sampling criterion: first negative-to-positive action turn; review sampling criterion: shortest/longest observed record-peak recovery</x:v>
      </x:c>
      <x:c r="AG118" s="18" t="n">
        <x:v>3895052</x:v>
      </x:c>
      <x:c r="AH118" s="18" t="n">
        <x:v>2</x:v>
      </x:c>
      <x:c r="AI118" s="18" t="n">
        <x:v>92</x:v>
      </x:c>
      <x:c r="AJ118" t="n">
        <x:v>1</x:v>
      </x:c>
    </x:row>
    <x:row r="119">
      <x:c r="A119" s="12" t="str">
        <x:v>C24</x:v>
      </x:c>
      <x:c r="B119" s="12" t="str">
        <x:v>C24_M03</x:v>
      </x:c>
      <x:c r="C119" s="12" t="str">
        <x:v>CONTINUE</x:v>
      </x:c>
      <x:c r="D119" s="18" t="n">
        <x:v>3</x:v>
      </x:c>
      <x:c r="E119" s="12" t="str">
        <x:v>LOCKED</x:v>
      </x:c>
      <x:c r="F119" s="12" t="str">
        <x:v>negative/control example</x:v>
      </x:c>
      <x:c r="G119" s="13" t="b">
        <x:v>0</x:v>
      </x:c>
      <x:c r="H119" s="13" t="b">
        <x:v>0</x:v>
      </x:c>
      <x:c r="I119" s="16"/>
      <x:c r="J119" s="18" t="n">
        <x:v>1941</x:v>
      </x:c>
      <x:c r="K119" s="16" t="n">
        <x:v>5.754</x:v>
      </x:c>
      <x:c r="L119" s="12" t="str">
        <x:v>Ball Receipt*</x:v>
      </x:c>
      <x:c r="M119" s="12" t="str">
        <x:v>Bayer Leverkusen</x:v>
      </x:c>
      <x:c r="N119" s="12"/>
      <x:c r="O119" s="16"/>
      <x:c r="P119" s="16"/>
      <x:c r="Q119" s="16" t="n">
        <x:v>93.2</x:v>
      </x:c>
      <x:c r="R119" s="16"/>
      <x:c r="S119" s="16" t="n">
        <x:v>-19.799999999999997</x:v>
      </x:c>
      <x:c r="T119" s="18"/>
      <x:c r="U119" s="18"/>
      <x:c r="V119" s="16" t="n">
        <x:v>3.01</x:v>
      </x:c>
      <x:c r="W119" s="18" t="n">
        <x:v>1</x:v>
      </x:c>
      <x:c r="X119" s="12"/>
      <x:c r="Y119" s="16"/>
      <x:c r="Z119" s="18"/>
      <x:c r="AA119" s="12"/>
      <x:c r="AB119" s="12" t="str">
        <x:v>[60,80)</x:v>
      </x:c>
      <x:c r="AC119" s="18" t="n">
        <x:v>1940</x:v>
      </x:c>
      <x:c r="AD119" s="18"/>
      <x:c r="AE119" s="12" t="str"/>
      <x:c r="AF119" s="12" t="str">
        <x:v>review sampling criterion: first full-event gap&gt;3s</x:v>
      </x:c>
      <x:c r="AG119" s="18" t="n">
        <x:v>3895052</x:v>
      </x:c>
      <x:c r="AH119" s="18" t="n">
        <x:v>2</x:v>
      </x:c>
      <x:c r="AI119" s="18" t="n">
        <x:v>92</x:v>
      </x:c>
      <x:c r="AJ119" t="n">
        <x:v>0</x:v>
      </x:c>
    </x:row>
    <x:row r="120">
      <x:c r="A120" s="12" t="str">
        <x:v>C25</x:v>
      </x:c>
      <x:c r="B120" s="12" t="str">
        <x:v>C25_M02</x:v>
      </x:c>
      <x:c r="C120" s="12" t="str">
        <x:v>CONTINUE</x:v>
      </x:c>
      <x:c r="D120" s="18" t="n">
        <x:v>3</x:v>
      </x:c>
      <x:c r="E120" s="12" t="str">
        <x:v>LOCKED</x:v>
      </x:c>
      <x:c r="F120" s="12" t="str">
        <x:v>negative/control example</x:v>
      </x:c>
      <x:c r="G120" s="13" t="b">
        <x:v>1</x:v>
      </x:c>
      <x:c r="H120" s="13" t="b">
        <x:v>0</x:v>
      </x:c>
      <x:c r="I120" s="16"/>
      <x:c r="J120" s="18" t="n">
        <x:v>1224</x:v>
      </x:c>
      <x:c r="K120" s="16" t="n">
        <x:v>4.863000000000056</x:v>
      </x:c>
      <x:c r="L120" s="12" t="str">
        <x:v>Pass</x:v>
      </x:c>
      <x:c r="M120" s="12" t="str">
        <x:v>Bayer Leverkusen</x:v>
      </x:c>
      <x:c r="N120" s="12"/>
      <x:c r="O120" s="16" t="n">
        <x:v>49.3</x:v>
      </x:c>
      <x:c r="P120" s="16" t="n">
        <x:v>46.8</x:v>
      </x:c>
      <x:c r="Q120" s="16" t="n">
        <x:v>49.3</x:v>
      </x:c>
      <x:c r="R120" s="16" t="n">
        <x:v>0</x:v>
      </x:c>
      <x:c r="S120" s="16" t="n">
        <x:v>0</x:v>
      </x:c>
      <x:c r="T120" s="18"/>
      <x:c r="U120" s="18"/>
      <x:c r="V120" s="16" t="n">
        <x:v>0</x:v>
      </x:c>
      <x:c r="W120" s="18" t="n">
        <x:v>0</x:v>
      </x:c>
      <x:c r="X120" s="12"/>
      <x:c r="Y120" s="16"/>
      <x:c r="Z120" s="18"/>
      <x:c r="AA120" s="12"/>
      <x:c r="AB120" s="12" t="str">
        <x:v>[30,60)</x:v>
      </x:c>
      <x:c r="AC120" s="18"/>
      <x:c r="AD120" s="18" t="n">
        <x:v>1226</x:v>
      </x:c>
      <x:c r="AE120" s="12" t="str"/>
      <x:c r="AF120" s="12" t="str">
        <x:v>review sampling criterion: first full-event gap&gt;3s</x:v>
      </x:c>
      <x:c r="AG120" s="18" t="n">
        <x:v>3895060</x:v>
      </x:c>
      <x:c r="AH120" s="18" t="n">
        <x:v>1</x:v>
      </x:c>
      <x:c r="AI120" s="18" t="n">
        <x:v>64</x:v>
      </x:c>
      <x:c r="AJ120" t="n">
        <x:v>1</x:v>
      </x:c>
    </x:row>
    <x:row r="121">
      <x:c r="A121" s="12" t="str">
        <x:v>C25</x:v>
      </x:c>
      <x:c r="B121" s="12" t="str">
        <x:v>C25_M03</x:v>
      </x:c>
      <x:c r="C121" s="12" t="str">
        <x:v>CONTINUE</x:v>
      </x:c>
      <x:c r="D121" s="18" t="n">
        <x:v>3</x:v>
      </x:c>
      <x:c r="E121" s="12" t="str">
        <x:v>LOCKED</x:v>
      </x:c>
      <x:c r="F121" s="12" t="str">
        <x:v>negative/control example</x:v>
      </x:c>
      <x:c r="G121" s="13" t="b">
        <x:v>1</x:v>
      </x:c>
      <x:c r="H121" s="13" t="b">
        <x:v>0</x:v>
      </x:c>
      <x:c r="I121" s="16"/>
      <x:c r="J121" s="18" t="n">
        <x:v>1227</x:v>
      </x:c>
      <x:c r="K121" s="16" t="n">
        <x:v>10.218000000000075</x:v>
      </x:c>
      <x:c r="L121" s="12" t="str">
        <x:v>Pass</x:v>
      </x:c>
      <x:c r="M121" s="12" t="str">
        <x:v>Bayer Leverkusen</x:v>
      </x:c>
      <x:c r="N121" s="12"/>
      <x:c r="O121" s="16" t="n">
        <x:v>50.6</x:v>
      </x:c>
      <x:c r="P121" s="16" t="n">
        <x:v>55.4</x:v>
      </x:c>
      <x:c r="Q121" s="16" t="n">
        <x:v>55.4</x:v>
      </x:c>
      <x:c r="R121" s="16" t="n">
        <x:v>4.799999999999997</x:v>
      </x:c>
      <x:c r="S121" s="16" t="n">
        <x:v>-4.799999999999997</x:v>
      </x:c>
      <x:c r="T121" s="18" t="n">
        <x:v>1</x:v>
      </x:c>
      <x:c r="U121" s="18" t="n">
        <x:v>1</x:v>
      </x:c>
      <x:c r="V121" s="16" t="n">
        <x:v>0</x:v>
      </x:c>
      <x:c r="W121" s="18" t="n">
        <x:v>0</x:v>
      </x:c>
      <x:c r="X121" s="12" t="str">
        <x:v>True</x:v>
      </x:c>
      <x:c r="Y121" s="16" t="n">
        <x:v>4.195999999999913</x:v>
      </x:c>
      <x:c r="Z121" s="18" t="n">
        <x:v>3</x:v>
      </x:c>
      <x:c r="AA121" s="12" t="str">
        <x:v>True</x:v>
      </x:c>
      <x:c r="AB121" s="12" t="str">
        <x:v>[30,60)</x:v>
      </x:c>
      <x:c r="AC121" s="18" t="n">
        <x:v>1226</x:v>
      </x:c>
      <x:c r="AD121" s="18" t="n">
        <x:v>1229</x:v>
      </x:c>
      <x:c r="AE121" s="12" t="str"/>
      <x:c r="AF121" s="12" t="str">
        <x:v>review sampling criterion: first negative vector (no magnitude minimum)</x:v>
      </x:c>
      <x:c r="AG121" s="18" t="n">
        <x:v>3895060</x:v>
      </x:c>
      <x:c r="AH121" s="18" t="n">
        <x:v>1</x:v>
      </x:c>
      <x:c r="AI121" s="18" t="n">
        <x:v>64</x:v>
      </x:c>
      <x:c r="AJ121" t="n">
        <x:v>1</x:v>
      </x:c>
    </x:row>
    <x:row r="122">
      <x:c r="A122" s="12" t="str">
        <x:v>C25</x:v>
      </x:c>
      <x:c r="B122" s="12" t="str">
        <x:v>C25_M04</x:v>
      </x:c>
      <x:c r="C122" s="12" t="str">
        <x:v>CONTINUE</x:v>
      </x:c>
      <x:c r="D122" s="18" t="n">
        <x:v>3</x:v>
      </x:c>
      <x:c r="E122" s="12" t="str">
        <x:v>LOCKED</x:v>
      </x:c>
      <x:c r="F122" s="12" t="str">
        <x:v>negative/control example</x:v>
      </x:c>
      <x:c r="G122" s="13" t="b">
        <x:v>1</x:v>
      </x:c>
      <x:c r="H122" s="13" t="b">
        <x:v>0</x:v>
      </x:c>
      <x:c r="I122" s="16"/>
      <x:c r="J122" s="18" t="n">
        <x:v>1229</x:v>
      </x:c>
      <x:c r="K122" s="16" t="n">
        <x:v>11.190000000000055</x:v>
      </x:c>
      <x:c r="L122" s="12" t="str">
        <x:v>Carry</x:v>
      </x:c>
      <x:c r="M122" s="12" t="str">
        <x:v>Bayer Leverkusen</x:v>
      </x:c>
      <x:c r="N122" s="12"/>
      <x:c r="O122" s="16" t="n">
        <x:v>50.3</x:v>
      </x:c>
      <x:c r="P122" s="16" t="n">
        <x:v>50.6</x:v>
      </x:c>
      <x:c r="Q122" s="16" t="n">
        <x:v>55.4</x:v>
      </x:c>
      <x:c r="R122" s="16" t="n">
        <x:v>5.100000000000001</x:v>
      </x:c>
      <x:c r="S122" s="16" t="n">
        <x:v>-4.799999999999997</x:v>
      </x:c>
      <x:c r="T122" s="18" t="n">
        <x:v>2</x:v>
      </x:c>
      <x:c r="U122" s="18" t="n">
        <x:v>2</x:v>
      </x:c>
      <x:c r="V122" s="16" t="n">
        <x:v>0.97199999999998</x:v>
      </x:c>
      <x:c r="W122" s="18" t="n">
        <x:v>2</x:v>
      </x:c>
      <x:c r="X122" s="12" t="str">
        <x:v>True</x:v>
      </x:c>
      <x:c r="Y122" s="16" t="n">
        <x:v>3.2239999999999327</x:v>
      </x:c>
      <x:c r="Z122" s="18" t="n">
        <x:v>1</x:v>
      </x:c>
      <x:c r="AA122" s="12" t="str">
        <x:v>True</x:v>
      </x:c>
      <x:c r="AB122" s="12" t="str">
        <x:v>[30,60)</x:v>
      </x:c>
      <x:c r="AC122" s="18" t="n">
        <x:v>1227</x:v>
      </x:c>
      <x:c r="AD122" s="18" t="n">
        <x:v>1230</x:v>
      </x:c>
      <x:c r="AE122" s="12" t="str"/>
      <x:c r="AF122" s="12" t="str">
        <x:v>review sampling criterion: negative run&gt;=2; review sampling criterion: nonpositive run&gt;=2; review sampling criterion: peak_retreat&gt;=5</x:v>
      </x:c>
      <x:c r="AG122" s="18" t="n">
        <x:v>3895060</x:v>
      </x:c>
      <x:c r="AH122" s="18" t="n">
        <x:v>1</x:v>
      </x:c>
      <x:c r="AI122" s="18" t="n">
        <x:v>64</x:v>
      </x:c>
      <x:c r="AJ122" t="n">
        <x:v>1</x:v>
      </x:c>
    </x:row>
    <x:row r="123">
      <x:c r="A123" s="12" t="str">
        <x:v>C25</x:v>
      </x:c>
      <x:c r="B123" s="12" t="str">
        <x:v>C25_M05</x:v>
      </x:c>
      <x:c r="C123" s="12" t="str">
        <x:v>CONTINUE</x:v>
      </x:c>
      <x:c r="D123" s="18" t="n">
        <x:v>3</x:v>
      </x:c>
      <x:c r="E123" s="12" t="str">
        <x:v>LOCKED</x:v>
      </x:c>
      <x:c r="F123" s="12" t="str">
        <x:v>negative/control example</x:v>
      </x:c>
      <x:c r="G123" s="13" t="b">
        <x:v>1</x:v>
      </x:c>
      <x:c r="H123" s="13" t="b">
        <x:v>0</x:v>
      </x:c>
      <x:c r="I123" s="16"/>
      <x:c r="J123" s="18" t="n">
        <x:v>1230</x:v>
      </x:c>
      <x:c r="K123" s="16" t="n">
        <x:v>14.413999999999987</x:v>
      </x:c>
      <x:c r="L123" s="12" t="str">
        <x:v>Pass</x:v>
      </x:c>
      <x:c r="M123" s="12" t="str">
        <x:v>Bayer Leverkusen</x:v>
      </x:c>
      <x:c r="N123" s="12"/>
      <x:c r="O123" s="16" t="n">
        <x:v>57.2</x:v>
      </x:c>
      <x:c r="P123" s="16" t="n">
        <x:v>50.3</x:v>
      </x:c>
      <x:c r="Q123" s="16" t="n">
        <x:v>57.2</x:v>
      </x:c>
      <x:c r="R123" s="16" t="n">
        <x:v>0</x:v>
      </x:c>
      <x:c r="S123" s="16" t="n">
        <x:v>-4.799999999999997</x:v>
      </x:c>
      <x:c r="T123" s="18"/>
      <x:c r="U123" s="18"/>
      <x:c r="V123" s="16" t="n">
        <x:v>0</x:v>
      </x:c>
      <x:c r="W123" s="18" t="n">
        <x:v>0</x:v>
      </x:c>
      <x:c r="X123" s="12"/>
      <x:c r="Y123" s="16"/>
      <x:c r="Z123" s="18"/>
      <x:c r="AA123" s="12"/>
      <x:c r="AB123" s="12" t="str">
        <x:v>[30,60)</x:v>
      </x:c>
      <x:c r="AC123" s="18" t="n">
        <x:v>1229</x:v>
      </x:c>
      <x:c r="AD123" s="18" t="n">
        <x:v>1232</x:v>
      </x:c>
      <x:c r="AE123" s="12" t="str"/>
      <x:c r="AF123" s="12" t="str">
        <x:v>review sampling criterion: first negative-to-positive action turn</x:v>
      </x:c>
      <x:c r="AG123" s="18" t="n">
        <x:v>3895060</x:v>
      </x:c>
      <x:c r="AH123" s="18" t="n">
        <x:v>1</x:v>
      </x:c>
      <x:c r="AI123" s="18" t="n">
        <x:v>64</x:v>
      </x:c>
      <x:c r="AJ123" t="n">
        <x:v>1</x:v>
      </x:c>
    </x:row>
    <x:row r="124">
      <x:c r="A124" s="12" t="str">
        <x:v>C25</x:v>
      </x:c>
      <x:c r="B124" s="12" t="str">
        <x:v>C25_M06</x:v>
      </x:c>
      <x:c r="C124" s="12" t="str">
        <x:v>CONTINUE</x:v>
      </x:c>
      <x:c r="D124" s="18" t="n">
        <x:v>3</x:v>
      </x:c>
      <x:c r="E124" s="12" t="str">
        <x:v>LOCKED</x:v>
      </x:c>
      <x:c r="F124" s="12" t="str">
        <x:v>negative/control example</x:v>
      </x:c>
      <x:c r="G124" s="13" t="b">
        <x:v>1</x:v>
      </x:c>
      <x:c r="H124" s="13" t="b">
        <x:v>0</x:v>
      </x:c>
      <x:c r="I124" s="16"/>
      <x:c r="J124" s="18" t="n">
        <x:v>1233</x:v>
      </x:c>
      <x:c r="K124" s="16" t="n">
        <x:v>15.135999999999967</x:v>
      </x:c>
      <x:c r="L124" s="12" t="str">
        <x:v>Pass</x:v>
      </x:c>
      <x:c r="M124" s="12" t="str">
        <x:v>Bayer Leverkusen</x:v>
      </x:c>
      <x:c r="N124" s="12"/>
      <x:c r="O124" s="16" t="n">
        <x:v>49.3</x:v>
      </x:c>
      <x:c r="P124" s="16" t="n">
        <x:v>57.2</x:v>
      </x:c>
      <x:c r="Q124" s="16" t="n">
        <x:v>57.2</x:v>
      </x:c>
      <x:c r="R124" s="16" t="n">
        <x:v>7.900000000000006</x:v>
      </x:c>
      <x:c r="S124" s="16" t="n">
        <x:v>-7.900000000000006</x:v>
      </x:c>
      <x:c r="T124" s="18" t="n">
        <x:v>1</x:v>
      </x:c>
      <x:c r="U124" s="18" t="n">
        <x:v>2</x:v>
      </x:c>
      <x:c r="V124" s="16" t="n">
        <x:v>0</x:v>
      </x:c>
      <x:c r="W124" s="18" t="n">
        <x:v>0</x:v>
      </x:c>
      <x:c r="X124" s="12" t="str">
        <x:v>True</x:v>
      </x:c>
      <x:c r="Y124" s="16" t="n">
        <x:v>6.691000000000031</x:v>
      </x:c>
      <x:c r="Z124" s="18" t="n">
        <x:v>10</x:v>
      </x:c>
      <x:c r="AA124" s="12" t="str">
        <x:v>True</x:v>
      </x:c>
      <x:c r="AB124" s="12" t="str">
        <x:v>[30,60)</x:v>
      </x:c>
      <x:c r="AC124" s="18" t="n">
        <x:v>1232</x:v>
      </x:c>
      <x:c r="AD124" s="18" t="n">
        <x:v>1235</x:v>
      </x:c>
      <x:c r="AE124" s="12" t="str">
        <x:v>Reset-warning-like recycle, but insufficient abandonment.</x:v>
      </x:c>
      <x:c r="AF124" s="12" t="str">
        <x:v>review sampling criterion: single_negative&gt;=5</x:v>
      </x:c>
      <x:c r="AG124" s="18" t="n">
        <x:v>3895060</x:v>
      </x:c>
      <x:c r="AH124" s="18" t="n">
        <x:v>1</x:v>
      </x:c>
      <x:c r="AI124" s="18" t="n">
        <x:v>64</x:v>
      </x:c>
      <x:c r="AJ124" t="n">
        <x:v>1</x:v>
      </x:c>
    </x:row>
    <x:row r="125">
      <x:c r="A125" s="12" t="str">
        <x:v>C25</x:v>
      </x:c>
      <x:c r="B125" s="12" t="str">
        <x:v>C25_M07</x:v>
      </x:c>
      <x:c r="C125" s="12" t="str">
        <x:v>CONTINUE</x:v>
      </x:c>
      <x:c r="D125" s="18" t="n">
        <x:v>3</x:v>
      </x:c>
      <x:c r="E125" s="12" t="str">
        <x:v>LOCKED</x:v>
      </x:c>
      <x:c r="F125" s="12" t="str">
        <x:v>negative/control example</x:v>
      </x:c>
      <x:c r="G125" s="13" t="b">
        <x:v>1</x:v>
      </x:c>
      <x:c r="H125" s="13" t="b">
        <x:v>0</x:v>
      </x:c>
      <x:c r="I125" s="16"/>
      <x:c r="J125" s="18" t="n">
        <x:v>1236</x:v>
      </x:c>
      <x:c r="K125" s="16" t="n">
        <x:v>17.529999999999973</x:v>
      </x:c>
      <x:c r="L125" s="12" t="str">
        <x:v>Pass</x:v>
      </x:c>
      <x:c r="M125" s="12" t="str">
        <x:v>Bayer Leverkusen</x:v>
      </x:c>
      <x:c r="N125" s="12"/>
      <x:c r="O125" s="16" t="n">
        <x:v>48.3</x:v>
      </x:c>
      <x:c r="P125" s="16" t="n">
        <x:v>49.3</x:v>
      </x:c>
      <x:c r="Q125" s="16" t="n">
        <x:v>57.2</x:v>
      </x:c>
      <x:c r="R125" s="16" t="n">
        <x:v>8.900000000000006</x:v>
      </x:c>
      <x:c r="S125" s="16" t="n">
        <x:v>-7.900000000000006</x:v>
      </x:c>
      <x:c r="T125" s="18" t="n">
        <x:v>1</x:v>
      </x:c>
      <x:c r="U125" s="18" t="n">
        <x:v>4</x:v>
      </x:c>
      <x:c r="V125" s="16" t="n">
        <x:v>2.3940000000000055</x:v>
      </x:c>
      <x:c r="W125" s="18" t="n">
        <x:v>3</x:v>
      </x:c>
      <x:c r="X125" s="12" t="str">
        <x:v>True</x:v>
      </x:c>
      <x:c r="Y125" s="16" t="n">
        <x:v>4.2970000000000255</x:v>
      </x:c>
      <x:c r="Z125" s="18" t="n">
        <x:v>7</x:v>
      </x:c>
      <x:c r="AA125" s="12" t="str">
        <x:v>True</x:v>
      </x:c>
      <x:c r="AB125" s="12" t="str">
        <x:v>[30,60)</x:v>
      </x:c>
      <x:c r="AC125" s="18" t="n">
        <x:v>1235</x:v>
      </x:c>
      <x:c r="AD125" s="18" t="n">
        <x:v>1238</x:v>
      </x:c>
      <x:c r="AE125" s="12" t="str">
        <x:v>Reset-warning-like recycle; recovered in ~4.3s.</x:v>
      </x:c>
      <x:c r="AF125" s="12" t="str">
        <x:v>review sampling criterion: nonpositive run&gt;=3</x:v>
      </x:c>
      <x:c r="AG125" s="18" t="n">
        <x:v>3895060</x:v>
      </x:c>
      <x:c r="AH125" s="18" t="n">
        <x:v>1</x:v>
      </x:c>
      <x:c r="AI125" s="18" t="n">
        <x:v>64</x:v>
      </x:c>
      <x:c r="AJ125" t="n">
        <x:v>1</x:v>
      </x:c>
    </x:row>
    <x:row r="126">
      <x:c r="A126" s="12" t="str">
        <x:v>C25</x:v>
      </x:c>
      <x:c r="B126" s="12" t="str">
        <x:v>C25_M08</x:v>
      </x:c>
      <x:c r="C126" s="12" t="str">
        <x:v>CONTINUE</x:v>
      </x:c>
      <x:c r="D126" s="18" t="n">
        <x:v>3</x:v>
      </x:c>
      <x:c r="E126" s="12" t="str">
        <x:v>LOCKED</x:v>
      </x:c>
      <x:c r="F126" s="12" t="str">
        <x:v>negative/control example</x:v>
      </x:c>
      <x:c r="G126" s="13" t="b">
        <x:v>1</x:v>
      </x:c>
      <x:c r="H126" s="13" t="b">
        <x:v>0</x:v>
      </x:c>
      <x:c r="I126" s="16"/>
      <x:c r="J126" s="18" t="n">
        <x:v>1249</x:v>
      </x:c>
      <x:c r="K126" s="16" t="n">
        <x:v>22.805000000000064</x:v>
      </x:c>
      <x:c r="L126" s="12" t="str">
        <x:v>Carry</x:v>
      </x:c>
      <x:c r="M126" s="12" t="str">
        <x:v>Bayer Leverkusen</x:v>
      </x:c>
      <x:c r="N126" s="12"/>
      <x:c r="O126" s="16" t="n">
        <x:v>101.4</x:v>
      </x:c>
      <x:c r="P126" s="16" t="n">
        <x:v>72.3</x:v>
      </x:c>
      <x:c r="Q126" s="16" t="n">
        <x:v>101.4</x:v>
      </x:c>
      <x:c r="R126" s="16" t="n">
        <x:v>0</x:v>
      </x:c>
      <x:c r="S126" s="16" t="n">
        <x:v>-4.6000000000000085</x:v>
      </x:c>
      <x:c r="T126" s="18"/>
      <x:c r="U126" s="18"/>
      <x:c r="V126" s="16" t="n">
        <x:v>0</x:v>
      </x:c>
      <x:c r="W126" s="18" t="n">
        <x:v>0</x:v>
      </x:c>
      <x:c r="X126" s="12"/>
      <x:c r="Y126" s="16"/>
      <x:c r="Z126" s="18"/>
      <x:c r="AA126" s="12"/>
      <x:c r="AB126" s="12" t="str">
        <x:v>[30,60)</x:v>
      </x:c>
      <x:c r="AC126" s="18" t="n">
        <x:v>1246</x:v>
      </x:c>
      <x:c r="AD126" s="18" t="n">
        <x:v>1251</x:v>
      </x:c>
      <x:c r="AE126" s="12" t="str"/>
      <x:c r="AF126" s="12" t="str">
        <x:v>review sampling criterion: shortest/longest observed record-peak recovery</x:v>
      </x:c>
      <x:c r="AG126" s="18" t="n">
        <x:v>3895060</x:v>
      </x:c>
      <x:c r="AH126" s="18" t="n">
        <x:v>1</x:v>
      </x:c>
      <x:c r="AI126" s="18" t="n">
        <x:v>64</x:v>
      </x:c>
      <x:c r="AJ126" t="n">
        <x:v>1</x:v>
      </x:c>
    </x:row>
    <x:row r="127">
      <x:c r="A127" s="12" t="str">
        <x:v>C25</x:v>
      </x:c>
      <x:c r="B127" s="12" t="str">
        <x:v>C25_M09</x:v>
      </x:c>
      <x:c r="C127" s="12" t="str">
        <x:v>CONTINUE</x:v>
      </x:c>
      <x:c r="D127" s="18" t="n">
        <x:v>3</x:v>
      </x:c>
      <x:c r="E127" s="12" t="str">
        <x:v>LOCKED</x:v>
      </x:c>
      <x:c r="F127" s="12" t="str">
        <x:v>negative/control example</x:v>
      </x:c>
      <x:c r="G127" s="13" t="b">
        <x:v>0</x:v>
      </x:c>
      <x:c r="H127" s="13" t="b">
        <x:v>1</x:v>
      </x:c>
      <x:c r="I127" s="16"/>
      <x:c r="J127" s="18" t="n">
        <x:v>1269</x:v>
      </x:c>
      <x:c r="K127" s="16" t="n">
        <x:v>41.249000000000024</x:v>
      </x:c>
      <x:c r="L127" s="12" t="str">
        <x:v>Carry</x:v>
      </x:c>
      <x:c r="M127" s="12" t="str">
        <x:v>Bayer Leverkusen</x:v>
      </x:c>
      <x:c r="N127" s="12"/>
      <x:c r="O127" s="16" t="n">
        <x:v>83</x:v>
      </x:c>
      <x:c r="P127" s="16" t="n">
        <x:v>45.2</x:v>
      </x:c>
      <x:c r="Q127" s="16" t="n">
        <x:v>101.4</x:v>
      </x:c>
      <x:c r="R127" s="16" t="n">
        <x:v>18.400000000000006</x:v>
      </x:c>
      <x:c r="S127" s="16" t="n">
        <x:v>-0.5</x:v>
      </x:c>
      <x:c r="T127" s="18"/>
      <x:c r="U127" s="18"/>
      <x:c r="V127" s="16" t="n">
        <x:v>12.374000000000024</x:v>
      </x:c>
      <x:c r="W127" s="18" t="n">
        <x:v>17</x:v>
      </x:c>
      <x:c r="X127" s="12" t="str">
        <x:v>True</x:v>
      </x:c>
      <x:c r="Y127" s="16" t="n">
        <x:v>6.516000000000076</x:v>
      </x:c>
      <x:c r="Z127" s="18" t="n">
        <x:v>1</x:v>
      </x:c>
      <x:c r="AA127" s="12" t="str">
        <x:v>True</x:v>
      </x:c>
      <x:c r="AB127" s="12" t="str">
        <x:v>[30,60)</x:v>
      </x:c>
      <x:c r="AC127" s="18" t="n">
        <x:v>1261</x:v>
      </x:c>
      <x:c r="AD127" s="18" t="n">
        <x:v>1270</x:v>
      </x:c>
      <x:c r="AE127" s="12" t="str">
        <x:v>New Leverkusen episode after opponent-established control; provider peak obsolete.</x:v>
      </x:c>
      <x:c r="AF127" s="12" t="str">
        <x:v>review sampling criterion: peak_retreat&gt;=15</x:v>
      </x:c>
      <x:c r="AG127" s="18" t="n">
        <x:v>3895060</x:v>
      </x:c>
      <x:c r="AH127" s="18" t="n">
        <x:v>1</x:v>
      </x:c>
      <x:c r="AI127" s="18" t="n">
        <x:v>64</x:v>
      </x:c>
      <x:c r="AJ127" t="n">
        <x:v>0</x:v>
      </x:c>
    </x:row>
    <x:row r="128">
      <x:c r="A128" s="12" t="str">
        <x:v>C25</x:v>
      </x:c>
      <x:c r="B128" s="12" t="str">
        <x:v>C25_M10</x:v>
      </x:c>
      <x:c r="C128" s="12" t="str">
        <x:v>CONTINUE</x:v>
      </x:c>
      <x:c r="D128" s="18" t="n">
        <x:v>3</x:v>
      </x:c>
      <x:c r="E128" s="12" t="str">
        <x:v>LOCKED</x:v>
      </x:c>
      <x:c r="F128" s="12" t="str">
        <x:v>negative/control example</x:v>
      </x:c>
      <x:c r="G128" s="13" t="b">
        <x:v>0</x:v>
      </x:c>
      <x:c r="H128" s="13" t="b">
        <x:v>1</x:v>
      </x:c>
      <x:c r="I128" s="16"/>
      <x:c r="J128" s="18" t="n">
        <x:v>1270</x:v>
      </x:c>
      <x:c r="K128" s="16" t="n">
        <x:v>47.7650000000001</x:v>
      </x:c>
      <x:c r="L128" s="12" t="str">
        <x:v>Pass</x:v>
      </x:c>
      <x:c r="M128" s="12" t="str">
        <x:v>Bayer Leverkusen</x:v>
      </x:c>
      <x:c r="N128" s="12"/>
      <x:c r="O128" s="16" t="n">
        <x:v>110.1</x:v>
      </x:c>
      <x:c r="P128" s="16" t="n">
        <x:v>83</x:v>
      </x:c>
      <x:c r="Q128" s="16" t="n">
        <x:v>110.1</x:v>
      </x:c>
      <x:c r="R128" s="16" t="n">
        <x:v>0</x:v>
      </x:c>
      <x:c r="S128" s="16" t="n">
        <x:v>-0.5</x:v>
      </x:c>
      <x:c r="T128" s="18"/>
      <x:c r="U128" s="18"/>
      <x:c r="V128" s="16" t="n">
        <x:v>0</x:v>
      </x:c>
      <x:c r="W128" s="18" t="n">
        <x:v>0</x:v>
      </x:c>
      <x:c r="X128" s="12"/>
      <x:c r="Y128" s="16"/>
      <x:c r="Z128" s="18"/>
      <x:c r="AA128" s="12"/>
      <x:c r="AB128" s="12" t="str">
        <x:v>[30,60)</x:v>
      </x:c>
      <x:c r="AC128" s="18" t="n">
        <x:v>1269</x:v>
      </x:c>
      <x:c r="AD128" s="18" t="n">
        <x:v>1272</x:v>
      </x:c>
      <x:c r="AE128" s="12" t="str"/>
      <x:c r="AF128" s="12" t="str">
        <x:v>review sampling criterion: shortest/longest observed record-peak recovery</x:v>
      </x:c>
      <x:c r="AG128" s="18" t="n">
        <x:v>3895060</x:v>
      </x:c>
      <x:c r="AH128" s="18" t="n">
        <x:v>1</x:v>
      </x:c>
      <x:c r="AI128" s="18" t="n">
        <x:v>64</x:v>
      </x:c>
      <x:c r="AJ128" t="n">
        <x:v>0</x:v>
      </x:c>
    </x:row>
  </x:sheetData>
  <x:conditionalFormatting sqref="C2:C128">
    <x:cfRule type="expression" dxfId="0" priority="1">
      <x:formula>C2="CLEAR_RESET"</x:formula>
    </x:cfRule>
    <x:cfRule type="expression" dxfId="1" priority="2">
      <x:formula>C2="POSSIBLE_RESET"</x:formula>
    </x:cfRule>
    <x:cfRule type="expression" dxfId="2" priority="3">
      <x:formula>C2="CONTINUE"</x:formula>
    </x:cfRule>
  </x:conditionalFormatting>
  <x:conditionalFormatting sqref="G2:G128">
    <x:cfRule type="expression" dxfId="3" priority="4">
      <x:formula>G2=TRUE</x:formula>
    </x:cfRule>
    <x:cfRule type="expression" dxfId="4" priority="5">
      <x:formula>G2=FALSE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253797407d9493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14" hidden="0" customWidth="1"/>
    <x:col min="4" max="4" width="24" hidden="0" customWidth="1"/>
    <x:col min="5" max="5" width="20" hidden="0" customWidth="1"/>
    <x:col min="6" max="6" width="12" hidden="0" customWidth="1"/>
    <x:col min="7" max="7" width="48" hidden="0" customWidth="1"/>
    <x:col min="8" max="8" width="24" hidden="0" customWidth="1"/>
  </x:cols>
  <x:sheetData>
    <x:row r="1">
      <x:c r="A1" s="22" t="str">
        <x:v>case_id</x:v>
      </x:c>
      <x:c r="B1" s="22" t="str">
        <x:v>candidate_id</x:v>
      </x:c>
      <x:c r="C1" s="22" t="str">
        <x:v>event_index</x:v>
      </x:c>
      <x:c r="D1" s="22" t="str">
        <x:v>event_type</x:v>
      </x:c>
      <x:c r="E1" s="22" t="str">
        <x:v>event_team</x:v>
      </x:c>
      <x:c r="F1" s="22" t="str">
        <x:v>review_confidence</x:v>
      </x:c>
      <x:c r="G1" s="22" t="str">
        <x:v>review_note</x:v>
      </x:c>
      <x:c r="H1" s="22" t="str">
        <x:v>boundary_source</x:v>
      </x:c>
    </x:row>
    <x:row r="2">
      <x:c r="A2" s="12" t="str">
        <x:v>C03</x:v>
      </x:c>
      <x:c r="B2" s="12" t="str">
        <x:v>C03_M03</x:v>
      </x:c>
      <x:c r="C2" s="12" t="n">
        <x:v>3463</x:v>
      </x:c>
      <x:c r="D2" s="12" t="str">
        <x:v>Shot</x:v>
      </x:c>
      <x:c r="E2" s="12" t="str">
        <x:v>Bayer Leverkusen</x:v>
      </x:c>
      <x:c r="F2" s="12" t="n">
        <x:v>3</x:v>
      </x:c>
      <x:c r="G2" s="12" t="str">
        <x:v>Terminal shot boundary.</x:v>
      </x:c>
      <x:c r="H2" s="12" t="str">
        <x:v>sampled candidate</x:v>
      </x:c>
    </x:row>
    <x:row r="3">
      <x:c r="A3" s="12" t="str">
        <x:v>C03</x:v>
      </x:c>
      <x:c r="B3" s="12" t="str">
        <x:v>C03_M04</x:v>
      </x:c>
      <x:c r="C3" s="12" t="n">
        <x:v>3464</x:v>
      </x:c>
      <x:c r="D3" s="12" t="str">
        <x:v>Block</x:v>
      </x:c>
      <x:c r="E3" s="12" t="str">
        <x:v>Werder Bremen</x:v>
      </x:c>
      <x:c r="F3" s="12" t="n">
        <x:v>3</x:v>
      </x:c>
      <x:c r="G3" s="12" t="str">
        <x:v>Same terminal shot boundary context.</x:v>
      </x:c>
      <x:c r="H3" s="12" t="str">
        <x:v>sampled candidate</x:v>
      </x:c>
    </x:row>
    <x:row r="4">
      <x:c r="A4" s="12" t="str">
        <x:v>C04</x:v>
      </x:c>
      <x:c r="B4" s="12" t="str">
        <x:v>C04_M07</x:v>
      </x:c>
      <x:c r="C4" s="12" t="n">
        <x:v>201</x:v>
      </x:c>
      <x:c r="D4" s="12" t="str">
        <x:v>Carry</x:v>
      </x:c>
      <x:c r="E4" s="12" t="str">
        <x:v>Bayer Leverkusen</x:v>
      </x:c>
      <x:c r="F4" s="12" t="n">
        <x:v>3</x:v>
      </x:c>
      <x:c r="G4" s="12" t="str">
        <x:v>Opponent-established control.</x:v>
      </x:c>
      <x:c r="H4" s="12" t="str">
        <x:v>sampled candidate</x:v>
      </x:c>
    </x:row>
    <x:row r="5">
      <x:c r="A5" s="12" t="str">
        <x:v>C05</x:v>
      </x:c>
      <x:c r="B5" s="12" t="str">
        <x:v>C05_M01</x:v>
      </x:c>
      <x:c r="C5" s="12" t="n">
        <x:v>3610</x:v>
      </x:c>
      <x:c r="D5" s="12" t="str">
        <x:v>Pass</x:v>
      </x:c>
      <x:c r="E5" s="12" t="str">
        <x:v>Bayer Leverkusen</x:v>
      </x:c>
      <x:c r="F5" s="12" t="n">
        <x:v>3</x:v>
      </x:c>
      <x:c r="G5" s="12" t="str">
        <x:v>Opening Free Kick / episode-start context.</x:v>
      </x:c>
      <x:c r="H5" s="12" t="str">
        <x:v>sampled candidate</x:v>
      </x:c>
    </x:row>
    <x:row r="6">
      <x:c r="A6" s="12" t="str">
        <x:v>C06</x:v>
      </x:c>
      <x:c r="B6" s="12" t="str">
        <x:v>C06_M01</x:v>
      </x:c>
      <x:c r="C6" s="12" t="n">
        <x:v>426</x:v>
      </x:c>
      <x:c r="D6" s="12" t="str">
        <x:v>Pass</x:v>
      </x:c>
      <x:c r="E6" s="12" t="str">
        <x:v>Bayer Leverkusen</x:v>
      </x:c>
      <x:c r="F6" s="12" t="n">
        <x:v>3</x:v>
      </x:c>
      <x:c r="G6" s="12" t="str">
        <x:v>Opening Throw-in / episode-start context.</x:v>
      </x:c>
      <x:c r="H6" s="12" t="str">
        <x:v>sampled candidate</x:v>
      </x:c>
    </x:row>
    <x:row r="7">
      <x:c r="A7" s="12" t="str">
        <x:v>C06</x:v>
      </x:c>
      <x:c r="B7" s="12" t="str">
        <x:v>C06_M04</x:v>
      </x:c>
      <x:c r="C7" s="12" t="n">
        <x:v>442</x:v>
      </x:c>
      <x:c r="D7" s="12" t="str">
        <x:v>Pass</x:v>
      </x:c>
      <x:c r="E7" s="12" t="str">
        <x:v>Borussia Mönchengladbach</x:v>
      </x:c>
      <x:c r="F7" s="12" t="n">
        <x:v>3</x:v>
      </x:c>
      <x:c r="G7" s="12" t="str">
        <x:v>Meaningful opponent control.</x:v>
      </x:c>
      <x:c r="H7" s="12" t="str">
        <x:v>sampled candidate</x:v>
      </x:c>
    </x:row>
    <x:row r="8">
      <x:c r="A8" s="12" t="str">
        <x:v>C07</x:v>
      </x:c>
      <x:c r="B8" s="12" t="str">
        <x:v>C07_M10</x:v>
      </x:c>
      <x:c r="C8" s="12" t="n">
        <x:v>731</x:v>
      </x:c>
      <x:c r="D8" s="12" t="str">
        <x:v>Shot</x:v>
      </x:c>
      <x:c r="E8" s="12" t="str">
        <x:v>Bayer Leverkusen</x:v>
      </x:c>
      <x:c r="F8" s="12" t="n">
        <x:v>3</x:v>
      </x:c>
      <x:c r="G8" s="12" t="str">
        <x:v>Shot + opponent GK/termination.</x:v>
      </x:c>
      <x:c r="H8" s="12" t="str">
        <x:v>sampled candidate</x:v>
      </x:c>
    </x:row>
    <x:row r="9">
      <x:c r="A9" s="12" t="str">
        <x:v>C08</x:v>
      </x:c>
      <x:c r="B9" s="12" t="str">
        <x:v>C08_M11</x:v>
      </x:c>
      <x:c r="C9" s="12" t="n">
        <x:v>2804</x:v>
      </x:c>
      <x:c r="D9" s="12" t="str">
        <x:v>Shot</x:v>
      </x:c>
      <x:c r="E9" s="12" t="str">
        <x:v>Bayer Leverkusen</x:v>
      </x:c>
      <x:c r="F9" s="12" t="n">
        <x:v>3</x:v>
      </x:c>
      <x:c r="G9" s="12" t="str">
        <x:v>Shot + immediate opponent GK control.</x:v>
      </x:c>
      <x:c r="H9" s="12" t="str">
        <x:v>sampled candidate</x:v>
      </x:c>
    </x:row>
    <x:row r="10">
      <x:c r="A10" s="12" t="str">
        <x:v>C08</x:v>
      </x:c>
      <x:c r="B10" s="12" t="str">
        <x:v>C08_M12</x:v>
      </x:c>
      <x:c r="C10" s="12" t="n">
        <x:v>2806</x:v>
      </x:c>
      <x:c r="D10" s="12" t="str">
        <x:v>Injury Stoppage</x:v>
      </x:c>
      <x:c r="E10" s="12" t="str">
        <x:v>Darmstadt 98</x:v>
      </x:c>
      <x:c r="F10" s="12" t="n">
        <x:v>3</x:v>
      </x:c>
      <x:c r="G10" s="12" t="str">
        <x:v>Same dead-ball/stoppage context, not additional episode cut.</x:v>
      </x:c>
      <x:c r="H10" s="12" t="str">
        <x:v>sampled candidate</x:v>
      </x:c>
    </x:row>
    <x:row r="11">
      <x:c r="A11" s="12" t="str">
        <x:v>C09</x:v>
      </x:c>
      <x:c r="B11" s="12" t="str">
        <x:v>C09_M01</x:v>
      </x:c>
      <x:c r="C11" s="12" t="n">
        <x:v>574</x:v>
      </x:c>
      <x:c r="D11" s="12" t="str">
        <x:v>Pass</x:v>
      </x:c>
      <x:c r="E11" s="12" t="str">
        <x:v>Bayer Leverkusen</x:v>
      </x:c>
      <x:c r="F11" s="12" t="n">
        <x:v>3</x:v>
      </x:c>
      <x:c r="G11" s="12" t="str">
        <x:v>Opening Corner / episode-start context.</x:v>
      </x:c>
      <x:c r="H11" s="12" t="str">
        <x:v>sampled candidate</x:v>
      </x:c>
    </x:row>
    <x:row r="12">
      <x:c r="A12" s="12" t="str">
        <x:v>C10</x:v>
      </x:c>
      <x:c r="B12" s="12" t="str">
        <x:v>C10_M01</x:v>
      </x:c>
      <x:c r="C12" s="12" t="n">
        <x:v>2412</x:v>
      </x:c>
      <x:c r="D12" s="12" t="str">
        <x:v>Pass</x:v>
      </x:c>
      <x:c r="E12" s="12" t="str">
        <x:v>Bayer Leverkusen</x:v>
      </x:c>
      <x:c r="F12" s="12" t="n">
        <x:v>3</x:v>
      </x:c>
      <x:c r="G12" s="12" t="str">
        <x:v>Opening Throw-in / episode-start context.</x:v>
      </x:c>
      <x:c r="H12" s="12" t="str">
        <x:v>sampled candidate</x:v>
      </x:c>
    </x:row>
    <x:row r="13">
      <x:c r="A13" s="12" t="str">
        <x:v>C10</x:v>
      </x:c>
      <x:c r="B13" s="12" t="str">
        <x:v>C10_M11</x:v>
      </x:c>
      <x:c r="C13" s="12" t="n">
        <x:v>2507</x:v>
      </x:c>
      <x:c r="D13" s="12" t="str">
        <x:v>Shot</x:v>
      </x:c>
      <x:c r="E13" s="12" t="str">
        <x:v>Bayer Leverkusen</x:v>
      </x:c>
      <x:c r="F13" s="12" t="n">
        <x:v>3</x:v>
      </x:c>
      <x:c r="G13" s="12" t="str">
        <x:v>Shot + immediate opponent GK control.</x:v>
      </x:c>
      <x:c r="H13" s="12" t="str">
        <x:v>sampled candidate</x:v>
      </x:c>
    </x:row>
    <x:row r="14">
      <x:c r="A14" s="12" t="str">
        <x:v>C11</x:v>
      </x:c>
      <x:c r="B14" s="12" t="str">
        <x:v>C11_M01</x:v>
      </x:c>
      <x:c r="C14" s="12" t="n">
        <x:v>778</x:v>
      </x:c>
      <x:c r="D14" s="12" t="str">
        <x:v>Pass</x:v>
      </x:c>
      <x:c r="E14" s="12" t="str">
        <x:v>Bayer Leverkusen</x:v>
      </x:c>
      <x:c r="F14" s="12" t="n">
        <x:v>3</x:v>
      </x:c>
      <x:c r="G14" s="12" t="str">
        <x:v>Opening Corner.</x:v>
      </x:c>
      <x:c r="H14" s="12" t="str">
        <x:v>sampled candidate</x:v>
      </x:c>
    </x:row>
    <x:row r="15">
      <x:c r="A15" s="12" t="str">
        <x:v>C12</x:v>
      </x:c>
      <x:c r="B15" s="12" t="str">
        <x:v>C12_M01</x:v>
      </x:c>
      <x:c r="C15" s="12" t="n">
        <x:v>2432</x:v>
      </x:c>
      <x:c r="D15" s="12" t="str">
        <x:v>Pass</x:v>
      </x:c>
      <x:c r="E15" s="12" t="str">
        <x:v>Bayer Leverkusen</x:v>
      </x:c>
      <x:c r="F15" s="12" t="n">
        <x:v>3</x:v>
      </x:c>
      <x:c r="G15" s="12" t="str">
        <x:v>Opening Corner.</x:v>
      </x:c>
      <x:c r="H15" s="12" t="str">
        <x:v>sampled candidate</x:v>
      </x:c>
    </x:row>
    <x:row r="16">
      <x:c r="A16" s="12" t="str">
        <x:v>C12</x:v>
      </x:c>
      <x:c r="B16" s="12" t="str">
        <x:v>C12_M08</x:v>
      </x:c>
      <x:c r="C16" s="12" t="n">
        <x:v>2550</x:v>
      </x:c>
      <x:c r="D16" s="12" t="str">
        <x:v>Clearance</x:v>
      </x:c>
      <x:c r="E16" s="12" t="str">
        <x:v>Union Berlin</x:v>
      </x:c>
      <x:c r="F16" s="12" t="n">
        <x:v>3</x:v>
      </x:c>
      <x:c r="G16" s="12" t="str">
        <x:v>Clearance out:true.</x:v>
      </x:c>
      <x:c r="H16" s="12" t="str">
        <x:v>sampled candidate</x:v>
      </x:c>
    </x:row>
    <x:row r="17">
      <x:c r="A17" s="12" t="str">
        <x:v>C12</x:v>
      </x:c>
      <x:c r="B17" s="12" t="str">
        <x:v>C12_M09</x:v>
      </x:c>
      <x:c r="C17" s="12" t="n">
        <x:v>2551</x:v>
      </x:c>
      <x:c r="D17" s="12" t="str">
        <x:v>Substitution</x:v>
      </x:c>
      <x:c r="E17" s="12" t="str">
        <x:v>Union Berlin</x:v>
      </x:c>
      <x:c r="F17" s="12" t="n">
        <x:v>3</x:v>
      </x:c>
      <x:c r="G17" s="12" t="str">
        <x:v>Same dead-ball interval; not additional episode cut.</x:v>
      </x:c>
      <x:c r="H17" s="12" t="str">
        <x:v>sampled candidate</x:v>
      </x:c>
    </x:row>
    <x:row r="18">
      <x:c r="A18" s="12" t="str">
        <x:v>C16</x:v>
      </x:c>
      <x:c r="B18" s="12" t="str">
        <x:v>C16_M09</x:v>
      </x:c>
      <x:c r="C18" s="12" t="n">
        <x:v>603</x:v>
      </x:c>
      <x:c r="D18" s="12" t="str">
        <x:v>Pass</x:v>
      </x:c>
      <x:c r="E18" s="12" t="str">
        <x:v>Bayer Leverkusen</x:v>
      </x:c>
      <x:c r="F18" s="12" t="n">
        <x:v>3</x:v>
      </x:c>
      <x:c r="G18" s="12" t="str">
        <x:v>Incomplete pass followed by opponent interception + controlled actions.</x:v>
      </x:c>
      <x:c r="H18" s="12" t="str">
        <x:v>sampled candidate</x:v>
      </x:c>
    </x:row>
    <x:row r="19">
      <x:c r="A19" s="12" t="str">
        <x:v>C16</x:v>
      </x:c>
      <x:c r="B19" s="12" t="str">
        <x:v>C16_M11</x:v>
      </x:c>
      <x:c r="C19" s="12" t="n">
        <x:v>712</x:v>
      </x:c>
      <x:c r="D19" s="12" t="str">
        <x:v>Clearance</x:v>
      </x:c>
      <x:c r="E19" s="12" t="str">
        <x:v>FC Heidenheim</x:v>
      </x:c>
      <x:c r="F19" s="12" t="n">
        <x:v>3</x:v>
      </x:c>
      <x:c r="G19" s="12" t="str">
        <x:v>Terminal clearance out:true.</x:v>
      </x:c>
      <x:c r="H19" s="12" t="str">
        <x:v>sampled candidate</x:v>
      </x:c>
    </x:row>
    <x:row r="20">
      <x:c r="A20" s="12" t="str">
        <x:v>C18</x:v>
      </x:c>
      <x:c r="B20" s="12" t="str">
        <x:v>C18_M01</x:v>
      </x:c>
      <x:c r="C20" s="12" t="n">
        <x:v>1286</x:v>
      </x:c>
      <x:c r="D20" s="12" t="str">
        <x:v>Pass</x:v>
      </x:c>
      <x:c r="E20" s="12" t="str">
        <x:v>Bayer Leverkusen</x:v>
      </x:c>
      <x:c r="F20" s="12" t="n">
        <x:v>3</x:v>
      </x:c>
      <x:c r="G20" s="12" t="str">
        <x:v>Opening Free Kick.</x:v>
      </x:c>
      <x:c r="H20" s="12" t="str">
        <x:v>sampled candidate</x:v>
      </x:c>
    </x:row>
    <x:row r="21">
      <x:c r="A21" s="12" t="str">
        <x:v>C18</x:v>
      </x:c>
      <x:c r="B21" s="12" t="str">
        <x:v>C18_M10</x:v>
      </x:c>
      <x:c r="C21" s="12" t="n">
        <x:v>1367</x:v>
      </x:c>
      <x:c r="D21" s="12" t="str">
        <x:v>Pass</x:v>
      </x:c>
      <x:c r="E21" s="12" t="str">
        <x:v>Werder Bremen</x:v>
      </x:c>
      <x:c r="F21" s="12" t="n">
        <x:v>3</x:v>
      </x:c>
      <x:c r="G21" s="12" t="str">
        <x:v>Opponent controlled spell already established.</x:v>
      </x:c>
      <x:c r="H21" s="12" t="str">
        <x:v>sampled candidate</x:v>
      </x:c>
    </x:row>
    <x:row r="22">
      <x:c r="A22" s="12" t="str">
        <x:v>C18</x:v>
      </x:c>
      <x:c r="B22" s="12" t="str">
        <x:v>C18_M13</x:v>
      </x:c>
      <x:c r="C22" s="12" t="n">
        <x:v>1485</x:v>
      </x:c>
      <x:c r="D22" s="12" t="str">
        <x:v>Clearance</x:v>
      </x:c>
      <x:c r="E22" s="12" t="str">
        <x:v>Werder Bremen</x:v>
      </x:c>
      <x:c r="F22" s="12" t="n">
        <x:v>3</x:v>
      </x:c>
      <x:c r="G22" s="12" t="str">
        <x:v>Clearance out:true.</x:v>
      </x:c>
      <x:c r="H22" s="12" t="str">
        <x:v>sampled candidate</x:v>
      </x:c>
    </x:row>
    <x:row r="23">
      <x:c r="A23" s="12" t="str">
        <x:v>C19</x:v>
      </x:c>
      <x:c r="B23" s="12" t="str">
        <x:v>C19_M02</x:v>
      </x:c>
      <x:c r="C23" s="12" t="n">
        <x:v>110</x:v>
      </x:c>
      <x:c r="D23" s="12" t="str">
        <x:v>Carry</x:v>
      </x:c>
      <x:c r="E23" s="12" t="str">
        <x:v>Bayer Leverkusen</x:v>
      </x:c>
      <x:c r="F23" s="12" t="n">
        <x:v>3</x:v>
      </x:c>
      <x:c r="G23" s="12" t="str">
        <x:v>Actual break is opponent Ball Recovery + Carry before candidate.</x:v>
      </x:c>
      <x:c r="H23" s="12" t="str">
        <x:v>sampled candidate</x:v>
      </x:c>
    </x:row>
    <x:row r="24">
      <x:c r="A24" s="12" t="str">
        <x:v>C19</x:v>
      </x:c>
      <x:c r="B24" s="12" t="str">
        <x:v>C19_M03</x:v>
      </x:c>
      <x:c r="C24" s="12" t="n">
        <x:v>111</x:v>
      </x:c>
      <x:c r="D24" s="12" t="str">
        <x:v>Shot</x:v>
      </x:c>
      <x:c r="E24" s="12" t="str">
        <x:v>Bayer Leverkusen</x:v>
      </x:c>
      <x:c r="F24" s="12" t="n">
        <x:v>3</x:v>
      </x:c>
      <x:c r="G24" s="12" t="str">
        <x:v>Terminal shot / parent-possession end.</x:v>
      </x:c>
      <x:c r="H24" s="12" t="str">
        <x:v>sampled candidate</x:v>
      </x:c>
    </x:row>
    <x:row r="25">
      <x:c r="A25" s="12" t="str">
        <x:v>C21</x:v>
      </x:c>
      <x:c r="B25" s="12" t="str">
        <x:v>C21_M02</x:v>
      </x:c>
      <x:c r="C25" s="12" t="n">
        <x:v>263</x:v>
      </x:c>
      <x:c r="D25" s="12" t="str">
        <x:v>Pass</x:v>
      </x:c>
      <x:c r="E25" s="12" t="str">
        <x:v>Bayer Leverkusen</x:v>
      </x:c>
      <x:c r="F25" s="12" t="n">
        <x:v>3</x:v>
      </x:c>
      <x:c r="G25" s="12" t="str">
        <x:v>Pass outcome Out.</x:v>
      </x:c>
      <x:c r="H25" s="12" t="str">
        <x:v>sampled candidate</x:v>
      </x:c>
    </x:row>
    <x:row r="26">
      <x:c r="A26" s="12" t="str">
        <x:v>C22</x:v>
      </x:c>
      <x:c r="B26" s="12" t="str">
        <x:v>C22_M01</x:v>
      </x:c>
      <x:c r="C26" s="12" t="n">
        <x:v>407</x:v>
      </x:c>
      <x:c r="D26" s="12" t="str">
        <x:v>Pass</x:v>
      </x:c>
      <x:c r="E26" s="12" t="str">
        <x:v>Bayer Leverkusen</x:v>
      </x:c>
      <x:c r="F26" s="12" t="n">
        <x:v>3</x:v>
      </x:c>
      <x:c r="G26" s="12" t="str">
        <x:v>Opening Goal Kick / episode-start context.</x:v>
      </x:c>
      <x:c r="H26" s="12" t="str">
        <x:v>sampled candidate</x:v>
      </x:c>
    </x:row>
    <x:row r="27">
      <x:c r="A27" s="12" t="str">
        <x:v>C22</x:v>
      </x:c>
      <x:c r="B27" s="12" t="str">
        <x:v>C22_M07</x:v>
      </x:c>
      <x:c r="C27" s="12" t="n">
        <x:v>440</x:v>
      </x:c>
      <x:c r="D27" s="12" t="str">
        <x:v>Shot</x:v>
      </x:c>
      <x:c r="E27" s="12" t="str">
        <x:v>Bayer Leverkusen</x:v>
      </x:c>
      <x:c r="F27" s="12" t="n">
        <x:v>3</x:v>
      </x:c>
      <x:c r="G27" s="12" t="str">
        <x:v>Terminal shot + opponent GK / parent-possession termination.</x:v>
      </x:c>
      <x:c r="H27" s="12" t="str">
        <x:v>sampled candidate</x:v>
      </x:c>
    </x:row>
    <x:row r="28">
      <x:c r="A28" s="12" t="str">
        <x:v>C24</x:v>
      </x:c>
      <x:c r="B28" s="12" t="str">
        <x:v>C24_M01</x:v>
      </x:c>
      <x:c r="C28" s="12" t="n">
        <x:v>1937</x:v>
      </x:c>
      <x:c r="D28" s="12" t="str">
        <x:v>Pass</x:v>
      </x:c>
      <x:c r="E28" s="12" t="str">
        <x:v>Bayer Leverkusen</x:v>
      </x:c>
      <x:c r="F28" s="12" t="n">
        <x:v>3</x:v>
      </x:c>
      <x:c r="G28" s="12" t="str">
        <x:v>Opening Kick Off / episode-start context.</x:v>
      </x:c>
      <x:c r="H28" s="12" t="str">
        <x:v>sampled candidate</x:v>
      </x:c>
    </x:row>
    <x:row r="29">
      <x:c r="A29" s="12" t="str">
        <x:v>C24</x:v>
      </x:c>
      <x:c r="B29" s="12" t="str">
        <x:v>C24_M04</x:v>
      </x:c>
      <x:c r="C29" s="12" t="n">
        <x:v>1942</x:v>
      </x:c>
      <x:c r="D29" s="12" t="str">
        <x:v>Foul Committed</x:v>
      </x:c>
      <x:c r="E29" s="12" t="str">
        <x:v>Bayer Leverkusen</x:v>
      </x:c>
      <x:c r="F29" s="12" t="n">
        <x:v>3</x:v>
      </x:c>
      <x:c r="G29" s="12" t="str">
        <x:v>Foul stoppage.</x:v>
      </x:c>
      <x:c r="H29" s="12" t="str">
        <x:v>sampled candidate</x:v>
      </x:c>
    </x:row>
    <x:row r="30">
      <x:c r="A30" s="12" t="str">
        <x:v>C24</x:v>
      </x:c>
      <x:c r="B30" s="12" t="str">
        <x:v>C24_M05</x:v>
      </x:c>
      <x:c r="C30" s="12" t="n">
        <x:v>1943</x:v>
      </x:c>
      <x:c r="D30" s="12" t="str">
        <x:v>Foul Won</x:v>
      </x:c>
      <x:c r="E30" s="12" t="str">
        <x:v>RB Leipzig</x:v>
      </x:c>
      <x:c r="F30" s="12" t="n">
        <x:v>3</x:v>
      </x:c>
      <x:c r="G30" s="12" t="str">
        <x:v>Same foul stoppage from opponent perspective; not another cut.</x:v>
      </x:c>
      <x:c r="H30" s="12" t="str">
        <x:v>sampled candidate</x:v>
      </x:c>
    </x:row>
    <x:row r="31">
      <x:c r="A31" s="12" t="str">
        <x:v>C25</x:v>
      </x:c>
      <x:c r="B31" s="12" t="str">
        <x:v>C25_M01</x:v>
      </x:c>
      <x:c r="C31" s="12" t="n">
        <x:v>1222</x:v>
      </x:c>
      <x:c r="D31" s="12" t="str">
        <x:v>Pass</x:v>
      </x:c>
      <x:c r="E31" s="12" t="str">
        <x:v>Bayer Leverkusen</x:v>
      </x:c>
      <x:c r="F31" s="12" t="n">
        <x:v>3</x:v>
      </x:c>
      <x:c r="G31" s="12" t="str">
        <x:v>Opening Free Kick.</x:v>
      </x:c>
      <x:c r="H31" s="12" t="str">
        <x:v>sampled candidate</x:v>
      </x:c>
    </x:row>
    <x:row r="32">
      <x:c r="A32" s="12" t="str">
        <x:v>C25</x:v>
      </x:c>
      <x:c r="B32" s="12" t="str">
        <x:v>C25_M11</x:v>
      </x:c>
      <x:c r="C32" s="12" t="n">
        <x:v>1275</x:v>
      </x:c>
      <x:c r="D32" s="12" t="str">
        <x:v>Block</x:v>
      </x:c>
      <x:c r="E32" s="12" t="str">
        <x:v>Borussia Mönchengladbach</x:v>
      </x:c>
      <x:c r="F32" s="12" t="n">
        <x:v>3</x:v>
      </x:c>
      <x:c r="G32" s="12" t="str">
        <x:v>Terminal Block out:true.</x:v>
      </x:c>
      <x:c r="H32" s="12" t="str">
        <x:v>sampled candidate</x:v>
      </x:c>
    </x:row>
    <x:row r="33">
      <x:c r="A33" s="12" t="str">
        <x:v>C26</x:v>
      </x:c>
      <x:c r="B33" s="12" t="str">
        <x:v>C26_M01</x:v>
      </x:c>
      <x:c r="C33" s="12" t="n">
        <x:v>2591</x:v>
      </x:c>
      <x:c r="D33" s="12" t="str">
        <x:v>Pass</x:v>
      </x:c>
      <x:c r="E33" s="12" t="str">
        <x:v>Bayer Leverkusen</x:v>
      </x:c>
      <x:c r="F33" s="12" t="n">
        <x:v>3</x:v>
      </x:c>
      <x:c r="G33" s="12" t="str">
        <x:v>Opening Free Kick.</x:v>
      </x:c>
      <x:c r="H33" s="12" t="str">
        <x:v>sampled candidate</x:v>
      </x:c>
    </x:row>
    <x:row r="34">
      <x:c r="A34" s="12" t="str">
        <x:v>C26</x:v>
      </x:c>
      <x:c r="B34" s="12" t="str">
        <x:v>C26_M02</x:v>
      </x:c>
      <x:c r="C34" s="12" t="n">
        <x:v>2592</x:v>
      </x:c>
      <x:c r="D34" s="12" t="str">
        <x:v>Clearance</x:v>
      </x:c>
      <x:c r="E34" s="12" t="str">
        <x:v>RB Leipzig</x:v>
      </x:c>
      <x:c r="F34" s="12" t="n">
        <x:v>3</x:v>
      </x:c>
      <x:c r="G34" s="12" t="str">
        <x:v>Clearance out:true.</x:v>
      </x:c>
      <x:c r="H34" s="12" t="str">
        <x:v>sampled candidate</x:v>
      </x:c>
    </x:row>
    <x:row r="35">
      <x:c r="A35" s="12" t="str">
        <x:v>C27</x:v>
      </x:c>
      <x:c r="B35" s="12" t="str">
        <x:v>C27_M01</x:v>
      </x:c>
      <x:c r="C35" s="12" t="n">
        <x:v>3</x:v>
      </x:c>
      <x:c r="D35" s="12" t="str">
        <x:v>Half Start</x:v>
      </x:c>
      <x:c r="E35" s="12" t="str">
        <x:v>Bayer Leverkusen</x:v>
      </x:c>
      <x:c r="F35" s="12" t="n">
        <x:v>3</x:v>
      </x:c>
      <x:c r="G35" s="12" t="str">
        <x:v>Administrative Half Start; no attacking episode created.</x:v>
      </x:c>
      <x:c r="H35" s="12" t="str">
        <x:v>sampled candidate</x:v>
      </x:c>
    </x:row>
    <x:row r="36">
      <x:c r="A36" s="12" t="str">
        <x:v>C27</x:v>
      </x:c>
      <x:c r="B36" s="12" t="str">
        <x:v>C27_M02</x:v>
      </x:c>
      <x:c r="C36" s="12" t="n">
        <x:v>4</x:v>
      </x:c>
      <x:c r="D36" s="12" t="str">
        <x:v>Half Start</x:v>
      </x:c>
      <x:c r="E36" s="12" t="str">
        <x:v>RB Leipzig</x:v>
      </x:c>
      <x:c r="F36" s="12" t="n">
        <x:v>3</x:v>
      </x:c>
      <x:c r="G36" s="12" t="str">
        <x:v>Same administrative period-start context.</x:v>
      </x:c>
      <x:c r="H36" s="12" t="str">
        <x:v>sampled candidate</x:v>
      </x:c>
    </x:row>
    <x:row r="37">
      <x:c r="A37" s="12" t="str">
        <x:v>C11</x:v>
      </x:c>
      <x:c r="B37" s="12" t="str"/>
      <x:c r="C37" s="12" t="str">
        <x:v>~809-813</x:v>
      </x:c>
      <x:c r="D37" s="12" t="str">
        <x:v>Gladbach established control</x:v>
      </x:c>
      <x:c r="E37" s="12" t="str">
        <x:v>opponent</x:v>
      </x:c>
      <x:c r="F37" s="12" t="n">
        <x:v>3</x:v>
      </x:c>
      <x:c r="G37" s="12" t="str">
        <x:v>Duel/ball recovery/carry/pass sequence; episode cut before later Leverkusen rebuild.</x:v>
      </x:c>
      <x:c r="H37" s="12" t="str">
        <x:v>unsampled full-event review</x:v>
      </x:c>
    </x:row>
    <x:row r="38">
      <x:c r="A38" s="12" t="str">
        <x:v>C11</x:v>
      </x:c>
      <x:c r="B38" s="12" t="str"/>
      <x:c r="C38" s="12" t="str">
        <x:v>~824-825</x:v>
      </x:c>
      <x:c r="D38" s="12" t="str">
        <x:v>Gladbach established control</x:v>
      </x:c>
      <x:c r="E38" s="12" t="str">
        <x:v>opponent</x:v>
      </x:c>
      <x:c r="F38" s="12" t="n">
        <x:v>3</x:v>
      </x:c>
      <x:c r="G38" s="12" t="str">
        <x:v>Second opponent ball recovery + carry; another episode cut.</x:v>
      </x:c>
      <x:c r="H38" s="12" t="str">
        <x:v>unsampled full-event review</x:v>
      </x:c>
    </x:row>
    <x:row r="39">
      <x:c r="A39" s="12" t="str">
        <x:v>C12</x:v>
      </x:c>
      <x:c r="B39" s="12" t="str"/>
      <x:c r="C39" s="12" t="str">
        <x:v>2539-2542</x:v>
      </x:c>
      <x:c r="D39" s="12" t="str">
        <x:v>Union established control</x:v>
      </x:c>
      <x:c r="E39" s="12" t="str">
        <x:v>opponent</x:v>
      </x:c>
      <x:c r="F39" s="12" t="n">
        <x:v>3</x:v>
      </x:c>
      <x:c r="G39" s="12" t="str">
        <x:v>Ball Recovery → Carry → Pass.</x:v>
      </x:c>
      <x:c r="H39" s="12" t="str">
        <x:v>unsampled full-event review</x:v>
      </x:c>
    </x:row>
    <x:row r="40">
      <x:c r="A40" s="12" t="str">
        <x:v>C13</x:v>
      </x:c>
      <x:c r="B40" s="12" t="str"/>
      <x:c r="C40" s="12" t="str">
        <x:v>346-351</x:v>
      </x:c>
      <x:c r="D40" s="12" t="str">
        <x:v>Leipzig established control</x:v>
      </x:c>
      <x:c r="E40" s="12" t="str">
        <x:v>opponent</x:v>
      </x:c>
      <x:c r="F40" s="12" t="n">
        <x:v>3</x:v>
      </x:c>
      <x:c r="G40" s="12" t="str">
        <x:v>Dispossessed → successful Duel → Ball Recovery → Carry → Pass; new Leverkusen episode starts event 353.</x:v>
      </x:c>
      <x:c r="H40" s="12" t="str">
        <x:v>unsampled full-event review</x:v>
      </x:c>
    </x:row>
    <x:row r="41">
      <x:c r="A41" s="12" t="str">
        <x:v>C14</x:v>
      </x:c>
      <x:c r="B41" s="12" t="str"/>
      <x:c r="C41" s="12" t="str">
        <x:v>2481-2484</x:v>
      </x:c>
      <x:c r="D41" s="12" t="str">
        <x:v>Leipzig established control</x:v>
      </x:c>
      <x:c r="E41" s="12" t="str">
        <x:v>opponent</x:v>
      </x:c>
      <x:c r="F41" s="12" t="n">
        <x:v>3</x:v>
      </x:c>
      <x:c r="G41" s="12" t="str">
        <x:v>Recovery Pass → Carry → Pass; later provider peak is obsolete.</x:v>
      </x:c>
      <x:c r="H41" s="12" t="str">
        <x:v>unsampled full-event review</x:v>
      </x:c>
    </x:row>
    <x:row r="42">
      <x:c r="A42" s="12" t="str">
        <x:v>C16</x:v>
      </x:c>
      <x:c r="B42" s="12" t="str"/>
      <x:c r="C42" s="12" t="str">
        <x:v>531-534</x:v>
      </x:c>
      <x:c r="D42" s="12" t="str">
        <x:v>Heidenheim established control</x:v>
      </x:c>
      <x:c r="E42" s="12" t="str">
        <x:v>opponent</x:v>
      </x:c>
      <x:c r="F42" s="12" t="n">
        <x:v>3</x:v>
      </x:c>
      <x:c r="G42" s="12" t="str">
        <x:v>Recovery Pass → Carry → Pass; new Leverkusen episode on regain.</x:v>
      </x:c>
      <x:c r="H42" s="12" t="str">
        <x:v>unsampled full-event review</x:v>
      </x:c>
    </x:row>
    <x:row r="43">
      <x:c r="A43" s="12" t="str">
        <x:v>C16</x:v>
      </x:c>
      <x:c r="B43" s="12" t="str"/>
      <x:c r="C43" s="12" t="str">
        <x:v>~121s</x:v>
      </x:c>
      <x:c r="D43" s="12" t="str">
        <x:v>Heidenheim established control</x:v>
      </x:c>
      <x:c r="E43" s="12" t="str">
        <x:v>opponent</x:v>
      </x:c>
      <x:c r="F43" s="12" t="n">
        <x:v>3</x:v>
      </x:c>
      <x:c r="G43" s="12" t="str">
        <x:v>Ball Recovery → Carry → Pass.</x:v>
      </x:c>
      <x:c r="H43" s="12" t="str">
        <x:v>unsampled full-event review</x:v>
      </x:c>
    </x:row>
    <x:row r="44">
      <x:c r="A44" s="12" t="str">
        <x:v>C17</x:v>
      </x:c>
      <x:c r="B44" s="12" t="str"/>
      <x:c r="C44" s="12" t="str">
        <x:v>before M09</x:v>
      </x:c>
      <x:c r="D44" s="12" t="str">
        <x:v>Freiburg established control</x:v>
      </x:c>
      <x:c r="E44" s="12" t="str">
        <x:v>opponent</x:v>
      </x:c>
      <x:c r="F44" s="12" t="n">
        <x:v>3</x:v>
      </x:c>
      <x:c r="G44" s="12" t="str">
        <x:v>GK Ball Recovery → Pass → Receipt → Pass; new episode after Leverkusen regain.</x:v>
      </x:c>
      <x:c r="H44" s="12" t="str">
        <x:v>unsampled full-event review</x:v>
      </x:c>
    </x:row>
    <x:row r="45">
      <x:c r="A45" s="12" t="str">
        <x:v>C18</x:v>
      </x:c>
      <x:c r="B45" s="12" t="str"/>
      <x:c r="C45" s="12" t="str">
        <x:v>1366</x:v>
      </x:c>
      <x:c r="D45" s="12" t="str">
        <x:v>Bremen goalkeeper control</x:v>
      </x:c>
      <x:c r="E45" s="12" t="str">
        <x:v>opponent</x:v>
      </x:c>
      <x:c r="F45" s="12" t="n">
        <x:v>3</x:v>
      </x:c>
      <x:c r="G45" s="12" t="str">
        <x:v>Goalkeeper establishes controlled spell; later Leverkusen regain starts new episode.</x:v>
      </x:c>
      <x:c r="H45" s="12" t="str">
        <x:v>unsampled full-event review</x:v>
      </x:c>
    </x:row>
    <x:row r="46">
      <x:c r="A46" s="12" t="str">
        <x:v>C18</x:v>
      </x:c>
      <x:c r="B46" s="12" t="str"/>
      <x:c r="C46" s="12" t="str">
        <x:v>1421-1424</x:v>
      </x:c>
      <x:c r="D46" s="12" t="str">
        <x:v>Bremen established control</x:v>
      </x:c>
      <x:c r="E46" s="12" t="str">
        <x:v>opponent</x:v>
      </x:c>
      <x:c r="F46" s="12" t="n">
        <x:v>3</x:v>
      </x:c>
      <x:c r="G46" s="12" t="str">
        <x:v>Recovery Pass → Carry → Pass.</x:v>
      </x:c>
      <x:c r="H46" s="12" t="str">
        <x:v>unsampled full-event review</x:v>
      </x:c>
    </x:row>
    <x:row r="47">
      <x:c r="A47" s="12" t="str">
        <x:v>C25</x:v>
      </x:c>
      <x:c r="B47" s="12" t="str"/>
      <x:c r="C47" s="12" t="str">
        <x:v>1255-1261</x:v>
      </x:c>
      <x:c r="D47" s="12" t="str">
        <x:v>Gladbach established control</x:v>
      </x:c>
      <x:c r="E47" s="12" t="str">
        <x:v>opponent</x:v>
      </x:c>
      <x:c r="F47" s="12" t="n">
        <x:v>3</x:v>
      </x:c>
      <x:c r="G47" s="12" t="str">
        <x:v>Ball Recovery → Carry → Pass → Receipt → Carry → Pass; new Leverkusen episode begins event 1264.</x:v>
      </x:c>
      <x:c r="H47" s="12" t="str">
        <x:v>unsampled full-event review</x:v>
      </x:c>
    </x:row>
  </x:sheetData>
  <x:pageMargins left="0.7" right="0.7" top="0.75" bottom="0.75" header="0.3" footer="0.3"/>
  <x:tableParts count="1">
    <x:tablePart xmlns:r="http://schemas.openxmlformats.org/officeDocument/2006/relationships" r:id="Rc86913702a6541c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58" hidden="0" customWidth="1"/>
    <x:col min="2" max="2" width="16" hidden="0" customWidth="1"/>
    <x:col min="3" max="3" width="18" hidden="0" customWidth="1"/>
    <x:col min="4" max="4" width="24" hidden="0" customWidth="1"/>
    <x:col min="5" max="5" width="20" hidden="0" customWidth="1"/>
    <x:col min="6" max="6" width="20" hidden="0" customWidth="1"/>
  </x:cols>
  <x:sheetData>
    <x:row r="1">
      <x:c r="A1" s="28" t="str">
        <x:v>Phase 3A-3 Segmentation Calibration Summary</x:v>
      </x:c>
      <x:c r="B1" s="28" t="str"/>
      <x:c r="C1" s="28" t="str"/>
      <x:c r="D1" s="28" t="str"/>
      <x:c r="E1" s="28" t="str"/>
      <x:c r="F1" s="28" t="str"/>
    </x:row>
    <x:row r="3">
      <x:c r="A3" s="6" t="str">
        <x:v>Human label</x:v>
      </x:c>
      <x:c r="B3" s="6" t="str">
        <x:v>Threshold-safe count</x:v>
      </x:c>
      <x:c r="C3" s="6" t="str">
        <x:v>Mean retreat</x:v>
      </x:c>
      <x:c r="D3" s="6" t="str">
        <x:v>Mean |largest negative dx|</x:v>
      </x:c>
      <x:c r="E3" s="6" t="str">
        <x:v>Mean time since peak</x:v>
      </x:c>
      <x:c r="F3" s="6" t="str">
        <x:v>Mean recovery time</x:v>
      </x:c>
    </x:row>
    <x:row r="4">
      <x:c r="A4" t="str">
        <x:v>CONTINUE</x:v>
      </x:c>
      <x:c r="B4" s="32" t="n">
        <x:f>COUNTIFS(Calibration_Matrix!$C$2:$C$128,A4,Calibration_Matrix!$AJ$2:$AJ$128,1)</x:f>
        <x:v>62</x:v>
      </x:c>
      <x:c r="C4" s="34" t="n">
        <x:f>IFERROR(SUMIFS(Calibration_Matrix!$R$2:$R$128,Calibration_Matrix!$C$2:$C$128,A4,Calibration_Matrix!$AJ$2:$AJ$128,1)/B4,"")</x:f>
        <x:v>10.399999999999995</x:v>
      </x:c>
      <x:c r="D4" s="34" t="n">
        <x:f>IFERROR(-SUMIFS(Calibration_Matrix!$S$2:$S$128,Calibration_Matrix!$C$2:$C$128,A4,Calibration_Matrix!$AJ$2:$AJ$128,1)/B4,"")</x:f>
        <x:v>7.267741935483872</x:v>
      </x:c>
      <x:c r="E4" s="34" t="n">
        <x:f>IFERROR(SUMIFS(Calibration_Matrix!$V$2:$V$128,Calibration_Matrix!$C$2:$C$128,A4,Calibration_Matrix!$AJ$2:$AJ$128,1)/B4,"")</x:f>
        <x:v>1.906467741935486</x:v>
      </x:c>
      <x:c r="F4" s="34" t="n">
        <x:f>IFERROR(SUMIFS(Calibration_Matrix!$Y$2:$Y$128,Calibration_Matrix!$C$2:$C$128,A4,Calibration_Matrix!$AJ$2:$AJ$128,1)/COUNTIFS(Calibration_Matrix!$C$2:$C$128,A4,Calibration_Matrix!$AJ$2:$AJ$128,1,Calibration_Matrix!$Y$2:$Y$128,"&gt;=0"),"")</x:f>
        <x:v>7.871887096774195</x:v>
      </x:c>
    </x:row>
    <x:row r="5">
      <x:c r="A5" t="str">
        <x:v>POSSIBLE_RESET</x:v>
      </x:c>
      <x:c r="B5" s="32" t="n">
        <x:f>COUNTIFS(Calibration_Matrix!$C$2:$C$128,A5,Calibration_Matrix!$AJ$2:$AJ$128,1)</x:f>
        <x:v>11</x:v>
      </x:c>
      <x:c r="C5" s="34" t="n">
        <x:f>IFERROR(SUMIFS(Calibration_Matrix!$R$2:$R$128,Calibration_Matrix!$C$2:$C$128,A5,Calibration_Matrix!$AJ$2:$AJ$128,1)/B5,"")</x:f>
        <x:v>20.954545454545453</x:v>
      </x:c>
      <x:c r="D5" s="34" t="n">
        <x:f>IFERROR(-SUMIFS(Calibration_Matrix!$S$2:$S$128,Calibration_Matrix!$C$2:$C$128,A5,Calibration_Matrix!$AJ$2:$AJ$128,1)/B5,"")</x:f>
        <x:v>13.609090909090908</x:v>
      </x:c>
      <x:c r="E5" s="34" t="n">
        <x:f>IFERROR(SUMIFS(Calibration_Matrix!$V$2:$V$128,Calibration_Matrix!$C$2:$C$128,A5,Calibration_Matrix!$AJ$2:$AJ$128,1)/B5,"")</x:f>
        <x:v>5.305727272727257</x:v>
      </x:c>
      <x:c r="F5" s="34" t="n">
        <x:f>IFERROR(SUMIFS(Calibration_Matrix!$Y$2:$Y$128,Calibration_Matrix!$C$2:$C$128,A5,Calibration_Matrix!$AJ$2:$AJ$128,1)/COUNTIFS(Calibration_Matrix!$C$2:$C$128,A5,Calibration_Matrix!$AJ$2:$AJ$128,1,Calibration_Matrix!$Y$2:$Y$128,"&gt;=0"),"")</x:f>
        <x:v>31.196363636363643</x:v>
      </x:c>
    </x:row>
    <x:row r="6">
      <x:c r="A6" t="str">
        <x:v>CLEAR_RESET</x:v>
      </x:c>
      <x:c r="B6" s="32" t="n">
        <x:f>COUNTIFS(Calibration_Matrix!$C$2:$C$128,A6,Calibration_Matrix!$AJ$2:$AJ$128,1)</x:f>
        <x:v>18</x:v>
      </x:c>
      <x:c r="C6" s="34" t="n">
        <x:f>IFERROR(SUMIFS(Calibration_Matrix!$R$2:$R$128,Calibration_Matrix!$C$2:$C$128,A6,Calibration_Matrix!$AJ$2:$AJ$128,1)/B6,"")</x:f>
        <x:v>46.672222222222224</x:v>
      </x:c>
      <x:c r="D6" s="34" t="n">
        <x:f>IFERROR(-SUMIFS(Calibration_Matrix!$S$2:$S$128,Calibration_Matrix!$C$2:$C$128,A6,Calibration_Matrix!$AJ$2:$AJ$128,1)/B6,"")</x:f>
        <x:v>19.483333333333334</x:v>
      </x:c>
      <x:c r="E6" s="34" t="n">
        <x:f>IFERROR(SUMIFS(Calibration_Matrix!$V$2:$V$128,Calibration_Matrix!$C$2:$C$128,A6,Calibration_Matrix!$AJ$2:$AJ$128,1)/B6,"")</x:f>
        <x:v>15.758944444444417</x:v>
      </x:c>
      <x:c r="F6" s="34" t="n">
        <x:f>IFERROR(SUMIFS(Calibration_Matrix!$Y$2:$Y$128,Calibration_Matrix!$C$2:$C$128,A6,Calibration_Matrix!$AJ$2:$AJ$128,1)/COUNTIFS(Calibration_Matrix!$C$2:$C$128,A6,Calibration_Matrix!$AJ$2:$AJ$128,1,Calibration_Matrix!$Y$2:$Y$128,"&gt;=0"),"")</x:f>
        <x:v>20.230222222222235</x:v>
      </x:c>
    </x:row>
    <x:row r="9">
      <x:c r="A9" s="40" t="str">
        <x:v>Calibration rule</x:v>
      </x:c>
      <x:c r="B9" s="40" t="str">
        <x:v>Status</x:v>
      </x:c>
    </x:row>
    <x:row r="10">
      <x:c r="A10" s="12" t="str">
        <x:v>POSSIBLE_RESET is warning evidence, not an episode cut</x:v>
      </x:c>
      <x:c r="B10" s="12" t="str">
        <x:v>LOCKED</x:v>
      </x:c>
    </x:row>
    <x:row r="11">
      <x:c r="A11" s="12" t="str">
        <x:v>Hard football boundaries evaluated before reset logic</x:v>
      </x:c>
      <x:c r="B11" s="12" t="str">
        <x:v>LOCKED</x:v>
      </x:c>
    </x:row>
    <x:row r="12">
      <x:c r="A12" s="12" t="str">
        <x:v>Episode-local state resets after hard boundary / confirmed reset</x:v>
      </x:c>
      <x:c r="B12" s="12" t="str">
        <x:v>LOCKED</x:v>
      </x:c>
    </x:row>
    <x:row r="13">
      <x:c r="A13" s="12" t="str">
        <x:v>Full ordered event stream precedes 360-anchor attachment</x:v>
      </x:c>
      <x:c r="B13" s="12" t="str">
        <x:v>LOCKED</x:v>
      </x:c>
    </x:row>
    <x:row r="14">
      <x:c r="A14" s="12" t="str">
        <x:v>Provider-possession peaks crossing hard boundaries are not threshold-safe</x:v>
      </x:c>
      <x:c r="B14" s="12" t="str">
        <x:v>LOCKED</x:v>
      </x:c>
    </x:row>
    <x:row r="15">
      <x:c r="A15" s="12" t="str">
        <x:v>Outcome variables (shots/xG/box entry) are not used to tune segmentation</x:v>
      </x:c>
      <x:c r="B15" s="12" t="str">
        <x:v>LOCKED</x:v>
      </x:c>
    </x:row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0" hidden="0" customWidth="1"/>
  </x:cols>
  <x:sheetData>
    <x:row r="1">
      <x:c r="A1" s="6" t="str">
        <x:v>Field</x:v>
      </x:c>
      <x:c r="B1" s="6" t="str">
        <x:v>Value</x:v>
      </x:c>
    </x:row>
    <x:row r="2">
      <x:c r="A2" s="12" t="str">
        <x:v>Source review pack</x:v>
      </x:c>
      <x:c r="B2" s="12" t="str">
        <x:v>phase3a2_boundary_review.html</x:v>
      </x:c>
    </x:row>
    <x:row r="3">
      <x:c r="A3" s="12" t="str">
        <x:v>Source candidate sheet</x:v>
      </x:c>
      <x:c r="B3" s="12" t="str">
        <x:v>phase3a2_boundary_review_sheet.csv</x:v>
      </x:c>
    </x:row>
    <x:row r="4">
      <x:c r="A4" s="12" t="str">
        <x:v>Pinned StatsBomb revision</x:v>
      </x:c>
      <x:c r="B4" s="12" t="str">
        <x:v>533862946a73608c134d18b78226b6371ce7173c</x:v>
      </x:c>
    </x:row>
    <x:row r="5">
      <x:c r="A5" s="12" t="str">
        <x:v>Matrix purpose</x:v>
      </x:c>
      <x:c r="B5" s="12" t="str">
        <x:v>Phase 3A-3 segmentation calibration; reset thresholds only</x:v>
      </x:c>
    </x:row>
    <x:row r="6">
      <x:c r="A6" s="12" t="str">
        <x:v>Locked cases</x:v>
      </x:c>
      <x:c r="B6" s="12" t="str">
        <x:v>C02-C14, C16, C18-C27 (subject to explicit deferred rows)</x:v>
      </x:c>
    </x:row>
    <x:row r="7">
      <x:c r="A7" s="12" t="str">
        <x:v>Partial cases</x:v>
      </x:c>
      <x:c r="B7" s="12" t="str">
        <x:v>C15 and C17: only explicitly confirmed reset labels used</x:v>
      </x:c>
    </x:row>
    <x:row r="8">
      <x:c r="A8" s="12" t="str">
        <x:v>C01</x:v>
      </x:c>
      <x:c r="B8" s="12" t="str">
        <x:v>No sampled candidates; monotonic negative-control case</x:v>
      </x:c>
    </x:row>
    <x:row r="9">
      <x:c r="A9" s="12" t="str">
        <x:v>C28</x:v>
      </x:c>
      <x:c r="B9" s="12" t="str">
        <x:v>No candidates; GK-only provider context, no attacking episode</x:v>
      </x:c>
    </x:row>
    <x:row r="10">
      <x:c r="A10" s="12" t="str">
        <x:v>Important caveat</x:v>
      </x:c>
      <x:c r="B10" s="12" t="str">
        <x:v>Raw diagnostics remain provider-possession based. Rows flagged provider_peak_contaminated must not set numeric reset thresholds unless episode-local values are recomputed.</x:v>
      </x:c>
    </x:row>
  </x:sheetData>
  <x:pageMargins left="0.7" right="0.7" top="0.75" bottom="0.75" header="0.3" footer="0.3"/>
</x:worksheet>
</file>